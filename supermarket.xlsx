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f03556534171f23a/Desktop/learning/"/>
    </mc:Choice>
  </mc:AlternateContent>
  <xr:revisionPtr revIDLastSave="4" documentId="8_{D9108AF0-B78C-41A7-AC8B-491910DD6EE5}" xr6:coauthVersionLast="47" xr6:coauthVersionMax="47" xr10:uidLastSave="{14450655-B13F-48A1-AB06-C247531C27D6}"/>
  <bookViews>
    <workbookView xWindow="-108" yWindow="-108" windowWidth="23256" windowHeight="12456" activeTab="2" xr2:uid="{327463F2-3B2C-4852-849B-889D5C655BD3}"/>
  </bookViews>
  <sheets>
    <sheet name="Data" sheetId="1" r:id="rId1"/>
    <sheet name="Pivot" sheetId="2" r:id="rId2"/>
    <sheet name="Dashboard" sheetId="3" r:id="rId3"/>
  </sheets>
  <definedNames>
    <definedName name="Slicer_Category">#N/A</definedName>
    <definedName name="Slicer_Months__Date">#N/A</definedName>
    <definedName name="Slicer_Payment_Method">#N/A</definedName>
  </definedNames>
  <calcPr calcId="191029"/>
  <pivotCaches>
    <pivotCache cacheId="10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 i="2" l="1"/>
  <c r="C6" i="2"/>
  <c r="B6" i="2"/>
  <c r="A6" i="2"/>
</calcChain>
</file>

<file path=xl/sharedStrings.xml><?xml version="1.0" encoding="utf-8"?>
<sst xmlns="http://schemas.openxmlformats.org/spreadsheetml/2006/main" count="1287" uniqueCount="351">
  <si>
    <t>Invoice ID</t>
  </si>
  <si>
    <t>Date</t>
  </si>
  <si>
    <t>Product</t>
  </si>
  <si>
    <t>Category</t>
  </si>
  <si>
    <t>Quantity</t>
  </si>
  <si>
    <t>Unit Price</t>
  </si>
  <si>
    <t>Gross Total</t>
  </si>
  <si>
    <t>Discount</t>
  </si>
  <si>
    <t>Final Price</t>
  </si>
  <si>
    <t>Payment Method</t>
  </si>
  <si>
    <t>City</t>
  </si>
  <si>
    <t>Beverages Item 27</t>
  </si>
  <si>
    <t>Beverages</t>
  </si>
  <si>
    <t>Cash</t>
  </si>
  <si>
    <t>Bangalore</t>
  </si>
  <si>
    <t>Bakery Item 11</t>
  </si>
  <si>
    <t>Bakery</t>
  </si>
  <si>
    <t>UPI</t>
  </si>
  <si>
    <t>Delhi</t>
  </si>
  <si>
    <t>Dairy Item 6</t>
  </si>
  <si>
    <t>Dairy</t>
  </si>
  <si>
    <t>Debit Card</t>
  </si>
  <si>
    <t>Mumbai</t>
  </si>
  <si>
    <t>Snacks Item 19</t>
  </si>
  <si>
    <t>Snacks</t>
  </si>
  <si>
    <t>Credit Card</t>
  </si>
  <si>
    <t>Chennai</t>
  </si>
  <si>
    <t>Vegetables Item 2</t>
  </si>
  <si>
    <t>Vegetables</t>
  </si>
  <si>
    <t>Hyderabad</t>
  </si>
  <si>
    <t>Frozen Food Item 44</t>
  </si>
  <si>
    <t>Frozen Food</t>
  </si>
  <si>
    <t>Kolkata</t>
  </si>
  <si>
    <t>Personal Care Item 9</t>
  </si>
  <si>
    <t>Personal Care</t>
  </si>
  <si>
    <t>Snacks Item 31</t>
  </si>
  <si>
    <t>Dairy Item 17</t>
  </si>
  <si>
    <t>Bakery Item 4</t>
  </si>
  <si>
    <t>Beverages Item 8</t>
  </si>
  <si>
    <t>Vegetables Item 13</t>
  </si>
  <si>
    <t>Cleaning Supplies Item 12</t>
  </si>
  <si>
    <t>Cleaning Supplies</t>
  </si>
  <si>
    <t>Snacks Item 44</t>
  </si>
  <si>
    <t>Frozen Food Item 3</t>
  </si>
  <si>
    <t>Beverages Item 40</t>
  </si>
  <si>
    <t>Dairy Item 29</t>
  </si>
  <si>
    <t>Bakery Item 18</t>
  </si>
  <si>
    <t>Personal Care Item 14</t>
  </si>
  <si>
    <t>Snacks Item 22</t>
  </si>
  <si>
    <t>Beverages Item 10</t>
  </si>
  <si>
    <t>Dairy Item 2</t>
  </si>
  <si>
    <t>Vegetables Item 50</t>
  </si>
  <si>
    <t>Frozen Food Item 15</t>
  </si>
  <si>
    <t>Bakery Item 29</t>
  </si>
  <si>
    <t>Beverages Item 35</t>
  </si>
  <si>
    <t>Snacks Item 8</t>
  </si>
  <si>
    <t>Dairy Item 33</t>
  </si>
  <si>
    <t>Vegetables Item 21</t>
  </si>
  <si>
    <t>Frozen Food Item 19</t>
  </si>
  <si>
    <t>Bakery Item 25</t>
  </si>
  <si>
    <t>Personal Care Item 5</t>
  </si>
  <si>
    <t>Snacks Item 30</t>
  </si>
  <si>
    <t>Cleaning Supplies Item 2</t>
  </si>
  <si>
    <t>Beverages Item 50</t>
  </si>
  <si>
    <t>Dairy Item 10</t>
  </si>
  <si>
    <t>Snacks Item 25</t>
  </si>
  <si>
    <t>Bakery Item 43</t>
  </si>
  <si>
    <t>Vegetables Item 3</t>
  </si>
  <si>
    <t>Frozen Food Item 46</t>
  </si>
  <si>
    <t>Beverages Item 12</t>
  </si>
  <si>
    <t>Snacks Item 17</t>
  </si>
  <si>
    <t>Dairy Item 41</t>
  </si>
  <si>
    <t>Personal Care Item 16</t>
  </si>
  <si>
    <t>Cleaning Supplies Item 7</t>
  </si>
  <si>
    <t>Bakery Item 6</t>
  </si>
  <si>
    <t>Vegetables Item 19</t>
  </si>
  <si>
    <t>Frozen Food Item 32</t>
  </si>
  <si>
    <t>Beverages Item 2</t>
  </si>
  <si>
    <t>Snacks Item 49</t>
  </si>
  <si>
    <t>Dairy Item 22</t>
  </si>
  <si>
    <t>Bakery Item 47</t>
  </si>
  <si>
    <t>Vegetables Item 27</t>
  </si>
  <si>
    <t>Frozen Food Item 7</t>
  </si>
  <si>
    <t>Personal Care Item 20</t>
  </si>
  <si>
    <t>Beverages Item 45</t>
  </si>
  <si>
    <t>Snacks Item 13</t>
  </si>
  <si>
    <t>Dairy Item 15</t>
  </si>
  <si>
    <t>Bakery Item 31</t>
  </si>
  <si>
    <t>Vegetables Item 38</t>
  </si>
  <si>
    <t>Frozen Food Item 26</t>
  </si>
  <si>
    <t>Beverages Item 1</t>
  </si>
  <si>
    <t>Snacks Item 21</t>
  </si>
  <si>
    <t>Personal Care Item 11</t>
  </si>
  <si>
    <t>Cleaning Supplies Item 18</t>
  </si>
  <si>
    <t>Bakery Item 33</t>
  </si>
  <si>
    <t>Vegetables Item 11</t>
  </si>
  <si>
    <t>Frozen Food Item 21</t>
  </si>
  <si>
    <t>Beverages Item 17</t>
  </si>
  <si>
    <t>Snacks Item 32</t>
  </si>
  <si>
    <t>Dairy Item 7</t>
  </si>
  <si>
    <t>Vegetables Item 44</t>
  </si>
  <si>
    <t>Personal Care Item 24</t>
  </si>
  <si>
    <t>Cleaning Supplies Item 3</t>
  </si>
  <si>
    <t>Bakery Item 22</t>
  </si>
  <si>
    <t>Beverages Item 23</t>
  </si>
  <si>
    <t>Snacks Item 6</t>
  </si>
  <si>
    <t>Dairy Item 28</t>
  </si>
  <si>
    <t>Frozen Food Item 40</t>
  </si>
  <si>
    <t>Personal Care Item 2</t>
  </si>
  <si>
    <t>Bakery Item 5</t>
  </si>
  <si>
    <t>Vegetables Item 15</t>
  </si>
  <si>
    <t>Cleaning Supplies Item 9</t>
  </si>
  <si>
    <t>Beverages Item 29</t>
  </si>
  <si>
    <t>Snacks Item 11</t>
  </si>
  <si>
    <t>Dairy Item 24</t>
  </si>
  <si>
    <t>Bakery Item 17</t>
  </si>
  <si>
    <t>Frozen Food Item 9</t>
  </si>
  <si>
    <t>Beverages Item 13</t>
  </si>
  <si>
    <t>Snacks Item 41</t>
  </si>
  <si>
    <t>Personal Care Item 28</t>
  </si>
  <si>
    <t>Cleaning Supplies Item 20</t>
  </si>
  <si>
    <t>Vegetables Item 6</t>
  </si>
  <si>
    <t>Beverages Item 48</t>
  </si>
  <si>
    <t>Dairy Item 39</t>
  </si>
  <si>
    <t>Frozen Food Item 25</t>
  </si>
  <si>
    <t>Snacks Item 27</t>
  </si>
  <si>
    <t>Bakery Item 10</t>
  </si>
  <si>
    <t>Cleaning Supplies Item 4</t>
  </si>
  <si>
    <t>Vegetables Item 30</t>
  </si>
  <si>
    <t>Beverages Item 20</t>
  </si>
  <si>
    <t>Snacks Item 14</t>
  </si>
  <si>
    <t>Dairy Item 19</t>
  </si>
  <si>
    <t>Bakery Item 3</t>
  </si>
  <si>
    <t>Vegetables Item 18</t>
  </si>
  <si>
    <t>Frozen Food Item 11</t>
  </si>
  <si>
    <t>Personal Care Item 31</t>
  </si>
  <si>
    <t>Cleaning Supplies Item 13</t>
  </si>
  <si>
    <t>Beverages Item 33</t>
  </si>
  <si>
    <t>Snacks Item 26</t>
  </si>
  <si>
    <t>Dairy Item 4</t>
  </si>
  <si>
    <t>Bakery Item 13</t>
  </si>
  <si>
    <t>Vegetables Item 42</t>
  </si>
  <si>
    <t>Frozen Food Item 30</t>
  </si>
  <si>
    <t>Personal Care Item 19</t>
  </si>
  <si>
    <t>Cleaning Supplies Item 6</t>
  </si>
  <si>
    <t>Beverages Item 38</t>
  </si>
  <si>
    <t>Snacks Item 47</t>
  </si>
  <si>
    <t>Dairy Item 32</t>
  </si>
  <si>
    <t>Bakery Item 49</t>
  </si>
  <si>
    <t>Vegetables Item 26</t>
  </si>
  <si>
    <t>Frozen Food Item 36</t>
  </si>
  <si>
    <t>Beverages Item 46</t>
  </si>
  <si>
    <t>Snacks Item 20</t>
  </si>
  <si>
    <t>Dairy Item 11</t>
  </si>
  <si>
    <t>Personal Care Item 18</t>
  </si>
  <si>
    <t>Bakery Item 21</t>
  </si>
  <si>
    <t>Vegetables Item 9</t>
  </si>
  <si>
    <t>Frozen Food Item 23</t>
  </si>
  <si>
    <t>Cleaning Supplies Item 11</t>
  </si>
  <si>
    <t>Beverages Item 15</t>
  </si>
  <si>
    <t>Snacks Item 10</t>
  </si>
  <si>
    <t>Dairy Item 36</t>
  </si>
  <si>
    <t>Bakery Item 2</t>
  </si>
  <si>
    <t>Vegetables Item 49</t>
  </si>
  <si>
    <t>Frozen Food Item 42</t>
  </si>
  <si>
    <t>Cleaning Supplies Item 10</t>
  </si>
  <si>
    <t>Beverages Item 4</t>
  </si>
  <si>
    <t>Snacks Item 42</t>
  </si>
  <si>
    <t>Dairy Item 8</t>
  </si>
  <si>
    <t>Bakery Item 45</t>
  </si>
  <si>
    <t>Vegetables Item 5</t>
  </si>
  <si>
    <t>Frozen Food Item 29</t>
  </si>
  <si>
    <t>Personal Care Item 40</t>
  </si>
  <si>
    <t>Cleaning Supplies Item 15</t>
  </si>
  <si>
    <t>Beverages Item 9</t>
  </si>
  <si>
    <t>Snacks Item 33</t>
  </si>
  <si>
    <t>Dairy Item 30</t>
  </si>
  <si>
    <t>Bakery Item 35</t>
  </si>
  <si>
    <t>Vegetables Item 41</t>
  </si>
  <si>
    <t>Frozen Food Item 17</t>
  </si>
  <si>
    <t>Beverages Item 14</t>
  </si>
  <si>
    <t>Snacks Item 15</t>
  </si>
  <si>
    <t>Dairy Item 37</t>
  </si>
  <si>
    <t>Bakery Item 12</t>
  </si>
  <si>
    <t>Vegetables Item 14</t>
  </si>
  <si>
    <t>Frozen Food Item 1</t>
  </si>
  <si>
    <t>Personal Care Item 27</t>
  </si>
  <si>
    <t>Cleaning Supplies Item 16</t>
  </si>
  <si>
    <t>Beverages Item 31</t>
  </si>
  <si>
    <t>Snacks Item 5</t>
  </si>
  <si>
    <t>Dairy Item 16</t>
  </si>
  <si>
    <t>Bakery Item 28</t>
  </si>
  <si>
    <t>Vegetables Item 1</t>
  </si>
  <si>
    <t>Frozen Food Item 8</t>
  </si>
  <si>
    <t>Personal Care Item 33</t>
  </si>
  <si>
    <t>Cleaning Supplies Item 23</t>
  </si>
  <si>
    <t>Beverages Item 6</t>
  </si>
  <si>
    <t>Snacks Item 1</t>
  </si>
  <si>
    <t>Dairy Item 43</t>
  </si>
  <si>
    <t>Bakery Item 41</t>
  </si>
  <si>
    <t>Vegetables Item 29</t>
  </si>
  <si>
    <t>Frozen Food Item 18</t>
  </si>
  <si>
    <t>Personal Care Item 1</t>
  </si>
  <si>
    <t>Cleaning Supplies Item 21</t>
  </si>
  <si>
    <t>Beverages Item 7</t>
  </si>
  <si>
    <t>Snacks Item 28</t>
  </si>
  <si>
    <t>Dairy Item 9</t>
  </si>
  <si>
    <t>Bakery Item 9</t>
  </si>
  <si>
    <t>Vegetables Item 23</t>
  </si>
  <si>
    <t>Frozen Food Item 5</t>
  </si>
  <si>
    <t>Beverages Item 47</t>
  </si>
  <si>
    <t>Snacks Item 34</t>
  </si>
  <si>
    <t>Dairy Item 12</t>
  </si>
  <si>
    <t>Bakery Item 48</t>
  </si>
  <si>
    <t>Vegetables Item 25</t>
  </si>
  <si>
    <t>Frozen Food Item 35</t>
  </si>
  <si>
    <t>Personal Care Item 12</t>
  </si>
  <si>
    <t>Cleaning Supplies Item 8</t>
  </si>
  <si>
    <t>Beverages Item 42</t>
  </si>
  <si>
    <t>Snacks Item 12</t>
  </si>
  <si>
    <t>Dairy Item 5</t>
  </si>
  <si>
    <t>Bakery Item 34</t>
  </si>
  <si>
    <t>Vegetables Item 47</t>
  </si>
  <si>
    <t>Frozen Food Item 33</t>
  </si>
  <si>
    <t>Personal Care Item 25</t>
  </si>
  <si>
    <t>Cleaning Supplies Item 5</t>
  </si>
  <si>
    <t>Beverages Item 18</t>
  </si>
  <si>
    <t>Snacks Item 36</t>
  </si>
  <si>
    <t>Dairy Item 13</t>
  </si>
  <si>
    <t>Bakery Item 23</t>
  </si>
  <si>
    <t>Vegetables Item 8</t>
  </si>
  <si>
    <t>Frozen Food Item 2</t>
  </si>
  <si>
    <t>Personal Care Item 30</t>
  </si>
  <si>
    <t>Cleaning Supplies Item 1</t>
  </si>
  <si>
    <t>Beverages Item 19</t>
  </si>
  <si>
    <t>Snacks Item 39</t>
  </si>
  <si>
    <t>Dairy Item 14</t>
  </si>
  <si>
    <t>Bakery Item 27</t>
  </si>
  <si>
    <t>Vegetables Item 39</t>
  </si>
  <si>
    <t>Frozen Food Item 14</t>
  </si>
  <si>
    <t>Personal Care Item 10</t>
  </si>
  <si>
    <t>Cleaning Supplies Item 19</t>
  </si>
  <si>
    <t>Beverages Item 11</t>
  </si>
  <si>
    <t>Snacks Item 7</t>
  </si>
  <si>
    <t>Dairy Item 20</t>
  </si>
  <si>
    <t>Bakery Item 32</t>
  </si>
  <si>
    <t>Vegetables Item 7</t>
  </si>
  <si>
    <t>Frozen Food Item 37</t>
  </si>
  <si>
    <t>Personal Care Item 6</t>
  </si>
  <si>
    <t>Cleaning Supplies Item 14</t>
  </si>
  <si>
    <t>Beverages Item 3</t>
  </si>
  <si>
    <t>Snacks Item 43</t>
  </si>
  <si>
    <t>Dairy Item 23</t>
  </si>
  <si>
    <t>Bakery Item 15</t>
  </si>
  <si>
    <t>Vegetables Item 45</t>
  </si>
  <si>
    <t>Frozen Food Item 38</t>
  </si>
  <si>
    <t>Personal Care Item 8</t>
  </si>
  <si>
    <t>Cleaning Supplies Item 22</t>
  </si>
  <si>
    <t>Beverages Item 32</t>
  </si>
  <si>
    <t>Snacks Item 3</t>
  </si>
  <si>
    <t>Dairy Item 38</t>
  </si>
  <si>
    <t>Bakery Item 8</t>
  </si>
  <si>
    <t>Vegetables Item 35</t>
  </si>
  <si>
    <t>Frozen Food Item 10</t>
  </si>
  <si>
    <t>Personal Care Item 29</t>
  </si>
  <si>
    <t>Snacks Item 50</t>
  </si>
  <si>
    <t>Dairy Item 31</t>
  </si>
  <si>
    <t>Bakery Item 7</t>
  </si>
  <si>
    <t>Vegetables Item 24</t>
  </si>
  <si>
    <t>Frozen Food Item 20</t>
  </si>
  <si>
    <t>Personal Care Item 32</t>
  </si>
  <si>
    <t>Cleaning Supplies Item 24</t>
  </si>
  <si>
    <t>Beverages Item 21</t>
  </si>
  <si>
    <t>Snacks Item 40</t>
  </si>
  <si>
    <t>Dairy Item 1</t>
  </si>
  <si>
    <t>Bakery Item 19</t>
  </si>
  <si>
    <t>Vegetables Item 20</t>
  </si>
  <si>
    <t>Frozen Food Item 39</t>
  </si>
  <si>
    <t>Personal Care Item 13</t>
  </si>
  <si>
    <t>Cleaning Supplies Item 26</t>
  </si>
  <si>
    <t>Beverages Item 39</t>
  </si>
  <si>
    <t>Snacks Item 24</t>
  </si>
  <si>
    <t>Dairy Item 35</t>
  </si>
  <si>
    <t>Bakery Item 24</t>
  </si>
  <si>
    <t>Vegetables Item 17</t>
  </si>
  <si>
    <t>Frozen Food Item 13</t>
  </si>
  <si>
    <t>Personal Care Item 17</t>
  </si>
  <si>
    <t>Cleaning Supplies Item 17</t>
  </si>
  <si>
    <t>Beverages Item 22</t>
  </si>
  <si>
    <t>Snacks Item 18</t>
  </si>
  <si>
    <t>Dairy Item 25</t>
  </si>
  <si>
    <t>Bakery Item 42</t>
  </si>
  <si>
    <t>Vegetables Item 28</t>
  </si>
  <si>
    <t>Frozen Food Item 41</t>
  </si>
  <si>
    <t>Personal Care Item 15</t>
  </si>
  <si>
    <t>Cleaning Supplies Item 25</t>
  </si>
  <si>
    <t>Beverages Item 28</t>
  </si>
  <si>
    <t>Snacks Item 48</t>
  </si>
  <si>
    <t>Dairy Item 18</t>
  </si>
  <si>
    <t>Bakery Item 1</t>
  </si>
  <si>
    <t>Vegetables Item 34</t>
  </si>
  <si>
    <t>Frozen Food Item 4</t>
  </si>
  <si>
    <t>Personal Care Item 23</t>
  </si>
  <si>
    <t>Beverages Item 44</t>
  </si>
  <si>
    <t>Snacks Item 38</t>
  </si>
  <si>
    <t>Bakery Item 50</t>
  </si>
  <si>
    <t>Vegetables Item 36</t>
  </si>
  <si>
    <t>Frozen Food Item 28</t>
  </si>
  <si>
    <t>Personal Care Item 4</t>
  </si>
  <si>
    <t>Cleaning Supplies Item 27</t>
  </si>
  <si>
    <t>Beverages Item 34</t>
  </si>
  <si>
    <t>Snacks Item 35</t>
  </si>
  <si>
    <t>Dairy Item 3</t>
  </si>
  <si>
    <t>Bakery Item 40</t>
  </si>
  <si>
    <t>Vegetables Item 33</t>
  </si>
  <si>
    <t>Frozen Food Item 12</t>
  </si>
  <si>
    <t>Personal Care Item 22</t>
  </si>
  <si>
    <t>Beverages Item 43</t>
  </si>
  <si>
    <t>Snacks Item 16</t>
  </si>
  <si>
    <t>Dairy Item 21</t>
  </si>
  <si>
    <t>Bakery Item 14</t>
  </si>
  <si>
    <t>Vegetables Item 32</t>
  </si>
  <si>
    <t>Frozen Food Item 16</t>
  </si>
  <si>
    <t>Row Labels</t>
  </si>
  <si>
    <t>Grand Total</t>
  </si>
  <si>
    <t>Jan</t>
  </si>
  <si>
    <t>Feb</t>
  </si>
  <si>
    <t>Mar</t>
  </si>
  <si>
    <t>Apr</t>
  </si>
  <si>
    <t>May</t>
  </si>
  <si>
    <t>Jun</t>
  </si>
  <si>
    <t>Jul</t>
  </si>
  <si>
    <t>Aug</t>
  </si>
  <si>
    <t>Sep</t>
  </si>
  <si>
    <t>Oct</t>
  </si>
  <si>
    <t>Nov</t>
  </si>
  <si>
    <t>Dec</t>
  </si>
  <si>
    <t>Sum of Final Price</t>
  </si>
  <si>
    <t>Sum of Quantity</t>
  </si>
  <si>
    <t>Sum of Invoice ID2</t>
  </si>
  <si>
    <t>Average of Invoice ID</t>
  </si>
  <si>
    <t>KPI'S</t>
  </si>
  <si>
    <t>Monthly wise sales</t>
  </si>
  <si>
    <t>category by quantity</t>
  </si>
  <si>
    <t>Count of Product</t>
  </si>
  <si>
    <t>Sum of Unit Price</t>
  </si>
  <si>
    <t>Sum of Gross Total</t>
  </si>
  <si>
    <t>Category Analysis unit price,gross price ,final price</t>
  </si>
  <si>
    <t>product by payment</t>
  </si>
  <si>
    <t>Top 10 product sales</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</si>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</sst>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540A]#,##0.00"/>
    <numFmt numFmtId="165" formatCode="#,###.00,&quot;K&quot;"/>
    <numFmt numFmtId="167" formatCode="&quot;₹&quot;\ #,##0.00"/>
    <numFmt numFmtId="168" formatCode="&quot;₹&quot;\ #,##0.0"/>
    <numFmt numFmtId="172" formatCode="&quot;₹&quot;\ 0.0,.&quot;M&quot;"/>
    <numFmt numFmtId="173" formatCode="&quot;₹&quot;0.0,.&quot;M&quot;"/>
  </numFmts>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5" tint="0.39997558519241921"/>
        <bgColor indexed="64"/>
      </patternFill>
    </fill>
    <fill>
      <patternFill patternType="solid">
        <fgColor rgb="FFFFC00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8">
    <xf numFmtId="0" fontId="0" fillId="0" borderId="0" xfId="0"/>
    <xf numFmtId="14" fontId="0" fillId="0" borderId="0" xfId="0" applyNumberFormat="1"/>
    <xf numFmtId="0" fontId="0" fillId="2" borderId="0" xfId="0" applyFill="1"/>
    <xf numFmtId="0" fontId="1" fillId="2" borderId="0" xfId="0" applyFont="1" applyFill="1"/>
    <xf numFmtId="0" fontId="1" fillId="0" borderId="0" xfId="0" applyFont="1"/>
    <xf numFmtId="167" fontId="0" fillId="0" borderId="0" xfId="0" applyNumberFormat="1"/>
    <xf numFmtId="168" fontId="0" fillId="0" borderId="0" xfId="0" applyNumberFormat="1"/>
    <xf numFmtId="0" fontId="0" fillId="3" borderId="2" xfId="0" applyFill="1" applyBorder="1"/>
    <xf numFmtId="0" fontId="0" fillId="3" borderId="3" xfId="0" applyFill="1" applyBorder="1"/>
    <xf numFmtId="0" fontId="0" fillId="3" borderId="4" xfId="0" applyFill="1" applyBorder="1"/>
    <xf numFmtId="0" fontId="0" fillId="0" borderId="5" xfId="0" applyBorder="1"/>
    <xf numFmtId="0" fontId="0" fillId="0" borderId="0" xfId="0" applyBorder="1"/>
    <xf numFmtId="0" fontId="0" fillId="0" borderId="6" xfId="0" applyBorder="1"/>
    <xf numFmtId="0" fontId="0" fillId="0" borderId="8" xfId="0" applyBorder="1"/>
    <xf numFmtId="0" fontId="0" fillId="0" borderId="9" xfId="0" applyBorder="1"/>
    <xf numFmtId="0" fontId="0" fillId="0" borderId="2" xfId="0" applyBorder="1"/>
    <xf numFmtId="0" fontId="0" fillId="0" borderId="3" xfId="0" applyBorder="1"/>
    <xf numFmtId="0" fontId="0" fillId="0" borderId="4" xfId="0" applyBorder="1"/>
    <xf numFmtId="0" fontId="0" fillId="4" borderId="5" xfId="0" applyFill="1" applyBorder="1" applyAlignment="1">
      <alignment horizontal="center"/>
    </xf>
    <xf numFmtId="0" fontId="0" fillId="4" borderId="0" xfId="0" applyFill="1" applyBorder="1" applyAlignment="1">
      <alignment horizontal="center"/>
    </xf>
    <xf numFmtId="0" fontId="0" fillId="0" borderId="5" xfId="0" applyBorder="1" applyAlignment="1">
      <alignment horizontal="left"/>
    </xf>
    <xf numFmtId="0" fontId="0" fillId="0" borderId="7" xfId="0" applyBorder="1"/>
    <xf numFmtId="0" fontId="0" fillId="5" borderId="2" xfId="0" applyFill="1" applyBorder="1" applyAlignment="1">
      <alignment horizontal="center"/>
    </xf>
    <xf numFmtId="0" fontId="0" fillId="5" borderId="3" xfId="0" applyFill="1" applyBorder="1" applyAlignment="1">
      <alignment horizontal="center"/>
    </xf>
    <xf numFmtId="0" fontId="0" fillId="0" borderId="8" xfId="0" applyNumberFormat="1" applyBorder="1"/>
    <xf numFmtId="0" fontId="0" fillId="0" borderId="9" xfId="0" applyNumberFormat="1" applyBorder="1"/>
    <xf numFmtId="0" fontId="0" fillId="0" borderId="11" xfId="0" applyNumberFormat="1" applyBorder="1"/>
    <xf numFmtId="0" fontId="0" fillId="0" borderId="12" xfId="0" applyNumberFormat="1" applyBorder="1"/>
    <xf numFmtId="0" fontId="0" fillId="0" borderId="10" xfId="0" applyBorder="1"/>
    <xf numFmtId="0" fontId="0" fillId="0" borderId="11" xfId="0" applyBorder="1"/>
    <xf numFmtId="0" fontId="0" fillId="0" borderId="12" xfId="0" applyBorder="1"/>
    <xf numFmtId="0" fontId="0" fillId="0" borderId="2" xfId="0" pivotButton="1" applyBorder="1"/>
    <xf numFmtId="0" fontId="0" fillId="0" borderId="1" xfId="0" pivotButton="1" applyBorder="1"/>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0" fillId="0" borderId="1" xfId="0" applyBorder="1" applyAlignment="1">
      <alignment horizontal="left"/>
    </xf>
    <xf numFmtId="0" fontId="0" fillId="0" borderId="1" xfId="0" applyBorder="1"/>
    <xf numFmtId="0" fontId="0" fillId="0" borderId="13" xfId="0" applyNumberFormat="1" applyBorder="1"/>
    <xf numFmtId="0" fontId="0" fillId="0" borderId="14" xfId="0" applyNumberFormat="1" applyBorder="1"/>
    <xf numFmtId="0" fontId="0" fillId="0" borderId="15" xfId="0" applyNumberFormat="1" applyBorder="1"/>
    <xf numFmtId="4" fontId="0" fillId="0" borderId="15" xfId="0" applyNumberFormat="1" applyBorder="1"/>
    <xf numFmtId="172" fontId="0" fillId="0" borderId="7" xfId="0" applyNumberFormat="1" applyBorder="1"/>
    <xf numFmtId="172" fontId="0" fillId="0" borderId="10" xfId="0" applyNumberFormat="1" applyBorder="1"/>
    <xf numFmtId="173" fontId="0" fillId="0" borderId="13" xfId="0" applyNumberFormat="1" applyBorder="1"/>
    <xf numFmtId="173" fontId="0" fillId="0" borderId="14" xfId="0" applyNumberFormat="1" applyBorder="1"/>
    <xf numFmtId="0" fontId="0" fillId="0" borderId="7" xfId="0" applyNumberFormat="1" applyBorder="1"/>
    <xf numFmtId="173" fontId="0" fillId="0" borderId="2" xfId="0" applyNumberFormat="1" applyBorder="1"/>
    <xf numFmtId="173" fontId="0" fillId="0" borderId="5" xfId="0" applyNumberFormat="1" applyBorder="1"/>
    <xf numFmtId="173" fontId="0" fillId="0" borderId="4" xfId="0" applyNumberFormat="1" applyBorder="1"/>
    <xf numFmtId="173" fontId="0" fillId="0" borderId="6" xfId="0" applyNumberFormat="1" applyBorder="1"/>
    <xf numFmtId="173" fontId="0" fillId="0" borderId="3" xfId="0" applyNumberFormat="1" applyBorder="1"/>
    <xf numFmtId="173" fontId="0" fillId="0" borderId="0" xfId="0" applyNumberFormat="1" applyBorder="1"/>
    <xf numFmtId="0" fontId="0" fillId="5" borderId="0" xfId="0" applyFill="1" applyAlignment="1">
      <alignment horizontal="center"/>
    </xf>
    <xf numFmtId="0" fontId="0" fillId="5" borderId="5" xfId="0" applyFill="1" applyBorder="1" applyAlignment="1">
      <alignment horizontal="center"/>
    </xf>
    <xf numFmtId="0" fontId="0" fillId="5" borderId="0" xfId="0" applyFill="1" applyBorder="1" applyAlignment="1">
      <alignment horizontal="center"/>
    </xf>
    <xf numFmtId="0" fontId="0" fillId="5" borderId="5" xfId="0" applyFill="1" applyBorder="1"/>
    <xf numFmtId="0" fontId="0" fillId="5" borderId="0" xfId="0" applyFill="1" applyBorder="1"/>
  </cellXfs>
  <cellStyles count="1">
    <cellStyle name="Normal" xfId="0" builtinId="0"/>
  </cellStyles>
  <dxfs count="525">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numFmt numFmtId="173"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173" formatCode="&quot;₹&quot;0.0,.&quot;M&quot;"/>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numFmt numFmtId="173"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173" formatCode="&quot;₹&quot;0.0,.&quot;M&quot;"/>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numFmt numFmtId="173"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173" formatCode="&quot;₹&quot;0.0,.&quot;M&quot;"/>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173" formatCode="&quot;₹&quot;0.0,.&quot;M&quot;"/>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quot;M&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173" formatCode="&quot;₹&quot;0.0,.&quot;M&quot;"/>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quot;M&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173" formatCode="&quot;₹&quot;0.0,.&quot;M&quot;"/>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quot;M&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173" formatCode="&quot;₹&quot;0.0,.&quot;M&quot;"/>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quot;M&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173" formatCode="&quot;₹&quot;0.0,.&quot;M&quot;"/>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quot;M&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173" formatCode="&quot;₹&quot;0.0,.&quot;M&quot;"/>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quot;M&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M&quot;"/>
    </dxf>
    <dxf>
      <numFmt numFmtId="173" formatCode="&quot;₹&quot;0.0,.&quot;M&quot;"/>
    </dxf>
    <dxf>
      <numFmt numFmtId="173" formatCode="&quot;₹&quot;0.0,.&quot;M&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quot;M&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numFmt numFmtId="173" formatCode="&quot;₹&quot;0.0,.&quot;M&quot;"/>
    </dxf>
    <dxf>
      <font>
        <b/>
        <i val="0"/>
        <sz val="12"/>
      </font>
    </dxf>
    <dxf>
      <fill>
        <patternFill>
          <bgColor theme="5" tint="0.59996337778862885"/>
        </patternFill>
      </fill>
      <border>
        <left style="thin">
          <color auto="1"/>
        </left>
        <right style="thin">
          <color auto="1"/>
        </right>
        <top style="thin">
          <color auto="1"/>
        </top>
        <bottom style="thin">
          <color auto="1"/>
        </bottom>
      </border>
    </dxf>
    <dxf>
      <numFmt numFmtId="168" formatCode="&quot;₹&quot;\ #,##0.0"/>
    </dxf>
    <dxf>
      <numFmt numFmtId="167" formatCode="&quot;₹&quot;\ #,##0.00"/>
    </dxf>
    <dxf>
      <numFmt numFmtId="19" formatCode="dd/mm/yyyy"/>
    </dxf>
  </dxfs>
  <tableStyles count="2" defaultTableStyle="TableStyleMedium2" defaultPivotStyle="PivotStyleLight16">
    <tableStyle name="Slicer Style 1" pivot="0" table="0" count="4" xr9:uid="{3AC1B5B9-BE1E-4E1B-8F01-47A5C6450064}">
      <tableStyleElement type="wholeTable" dxfId="521"/>
      <tableStyleElement type="headerRow" dxfId="520"/>
    </tableStyle>
    <tableStyle name="Slicer Style 2" pivot="0" table="0" count="1" xr9:uid="{B45475CD-97F5-4645-BEFE-17BA02F5102D}"/>
  </tableStyles>
  <colors>
    <mruColors>
      <color rgb="FFDDE53B"/>
      <color rgb="FFE7F030"/>
      <color rgb="FFAFDC7E"/>
      <color rgb="FFB2DE82"/>
      <color rgb="FFA20000"/>
    </mruColors>
  </colors>
  <extLst>
    <ext xmlns:x14="http://schemas.microsoft.com/office/spreadsheetml/2009/9/main" uri="{46F421CA-312F-682f-3DD2-61675219B42D}">
      <x14:dxfs count="3">
        <dxf>
          <fill>
            <patternFill>
              <bgColor rgb="FF92D050"/>
            </patternFill>
          </fill>
          <border diagonalUp="1">
            <left style="thin">
              <color auto="1"/>
            </left>
            <right style="thin">
              <color auto="1"/>
            </right>
            <top style="thin">
              <color auto="1"/>
            </top>
            <bottom style="thin">
              <color auto="1"/>
            </bottom>
            <diagonal style="thin">
              <color auto="1"/>
            </diagonal>
          </border>
        </dxf>
        <dxf>
          <fill>
            <patternFill>
              <bgColor theme="5" tint="0.79998168889431442"/>
            </patternFill>
          </fill>
          <border>
            <left style="thin">
              <color auto="1"/>
            </left>
            <right style="thin">
              <color auto="1"/>
            </right>
            <top style="thin">
              <color auto="1"/>
            </top>
            <bottom style="thin">
              <color auto="1"/>
            </bottom>
          </border>
        </dxf>
        <dxf>
          <fill>
            <patternFill>
              <bgColor rgb="FFE7F03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 name="Slicer Style 2">
          <x14:slicerStyleElements>
            <x14:slicerStyleElement type="selectedItemWith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rgbClr val="FF0000"/>
                </a:solidFill>
              </a:rPr>
              <a:t>Monthlywise</a:t>
            </a:r>
            <a:r>
              <a:rPr lang="en-US" i="1" baseline="0">
                <a:solidFill>
                  <a:srgbClr val="FF0000"/>
                </a:solidFill>
              </a:rPr>
              <a:t> sales</a:t>
            </a:r>
            <a:endParaRPr lang="en-US" i="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6">
                <a:lumMod val="60000"/>
                <a:lumOff val="40000"/>
              </a:schemeClr>
            </a:solidFill>
            <a:round/>
          </a:ln>
          <a:effectLst/>
        </c:spPr>
        <c:marker>
          <c:symbol val="circle"/>
          <c:size val="5"/>
          <c:spPr>
            <a:solidFill>
              <a:srgbClr val="0070C0">
                <a:alpha val="90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6">
                <a:lumMod val="60000"/>
                <a:lumOff val="40000"/>
              </a:schemeClr>
            </a:solidFill>
            <a:round/>
          </a:ln>
          <a:effectLst/>
        </c:spPr>
        <c:marker>
          <c:symbol val="circle"/>
          <c:size val="5"/>
          <c:spPr>
            <a:solidFill>
              <a:srgbClr val="0070C0">
                <a:alpha val="90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accent6">
                <a:lumMod val="60000"/>
                <a:lumOff val="40000"/>
              </a:schemeClr>
            </a:solidFill>
            <a:round/>
          </a:ln>
          <a:effectLst/>
        </c:spPr>
        <c:marker>
          <c:symbol val="circle"/>
          <c:size val="5"/>
          <c:spPr>
            <a:solidFill>
              <a:srgbClr val="0070C0">
                <a:alpha val="90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Pivot!$B$13</c:f>
              <c:strCache>
                <c:ptCount val="1"/>
                <c:pt idx="0">
                  <c:v>Total</c:v>
                </c:pt>
              </c:strCache>
            </c:strRef>
          </c:tx>
          <c:spPr>
            <a:ln w="25400" cap="rnd">
              <a:solidFill>
                <a:schemeClr val="accent6">
                  <a:lumMod val="60000"/>
                  <a:lumOff val="40000"/>
                </a:schemeClr>
              </a:solidFill>
              <a:round/>
            </a:ln>
            <a:effectLst/>
          </c:spPr>
          <c:marker>
            <c:symbol val="circle"/>
            <c:size val="5"/>
            <c:spPr>
              <a:solidFill>
                <a:srgbClr val="0070C0">
                  <a:alpha val="90000"/>
                </a:srgb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Pivot!$B$14:$B$26</c:f>
              <c:numCache>
                <c:formatCode>"₹"0.0,."M"</c:formatCode>
                <c:ptCount val="12"/>
                <c:pt idx="0">
                  <c:v>10182.94</c:v>
                </c:pt>
                <c:pt idx="1">
                  <c:v>8365.3600000000024</c:v>
                </c:pt>
                <c:pt idx="2">
                  <c:v>9363.84</c:v>
                </c:pt>
                <c:pt idx="3">
                  <c:v>8212.27</c:v>
                </c:pt>
                <c:pt idx="4">
                  <c:v>6664.2699999999995</c:v>
                </c:pt>
                <c:pt idx="5">
                  <c:v>7153.96</c:v>
                </c:pt>
                <c:pt idx="6">
                  <c:v>11035.720000000001</c:v>
                </c:pt>
                <c:pt idx="7">
                  <c:v>6334.0500000000011</c:v>
                </c:pt>
                <c:pt idx="8">
                  <c:v>7064.4299999999994</c:v>
                </c:pt>
                <c:pt idx="9">
                  <c:v>5154.1399999999994</c:v>
                </c:pt>
                <c:pt idx="10">
                  <c:v>10186.529999999999</c:v>
                </c:pt>
                <c:pt idx="11">
                  <c:v>10477.430000000002</c:v>
                </c:pt>
              </c:numCache>
            </c:numRef>
          </c:val>
          <c:smooth val="0"/>
          <c:extLst>
            <c:ext xmlns:c16="http://schemas.microsoft.com/office/drawing/2014/chart" uri="{C3380CC4-5D6E-409C-BE32-E72D297353CC}">
              <c16:uniqueId val="{00000000-5A74-4111-9CEF-6E02861E5131}"/>
            </c:ext>
          </c:extLst>
        </c:ser>
        <c:dLbls>
          <c:dLblPos val="t"/>
          <c:showLegendKey val="0"/>
          <c:showVal val="1"/>
          <c:showCatName val="0"/>
          <c:showSerName val="0"/>
          <c:showPercent val="0"/>
          <c:showBubbleSize val="0"/>
        </c:dLbls>
        <c:marker val="1"/>
        <c:smooth val="0"/>
        <c:axId val="466549231"/>
        <c:axId val="466546831"/>
      </c:lineChart>
      <c:catAx>
        <c:axId val="466549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66546831"/>
        <c:crosses val="autoZero"/>
        <c:auto val="1"/>
        <c:lblAlgn val="ctr"/>
        <c:lblOffset val="100"/>
        <c:noMultiLvlLbl val="0"/>
      </c:catAx>
      <c:valAx>
        <c:axId val="466546831"/>
        <c:scaling>
          <c:orientation val="minMax"/>
        </c:scaling>
        <c:delete val="1"/>
        <c:axPos val="l"/>
        <c:numFmt formatCode="&quot;₹&quot;0.0,.&quot;M&quot;" sourceLinked="1"/>
        <c:majorTickMark val="out"/>
        <c:minorTickMark val="none"/>
        <c:tickLblPos val="nextTo"/>
        <c:crossAx val="46654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alpha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Category</a:t>
            </a:r>
            <a:r>
              <a:rPr lang="en-US" b="1" i="1" baseline="0">
                <a:solidFill>
                  <a:srgbClr val="FF0000"/>
                </a:solidFill>
              </a:rPr>
              <a:t> count</a:t>
            </a:r>
            <a:endParaRPr lang="en-US" b="1" i="1">
              <a:solidFill>
                <a:srgbClr val="FF0000"/>
              </a:solidFill>
            </a:endParaRPr>
          </a:p>
        </c:rich>
      </c:tx>
      <c:layout>
        <c:manualLayout>
          <c:xMode val="edge"/>
          <c:yMode val="edge"/>
          <c:x val="0.302790571882836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5875">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lumMod val="60000"/>
            </a:schemeClr>
          </a:solidFill>
          <a:ln w="15875">
            <a:solidFill>
              <a:schemeClr val="lt1"/>
            </a:solidFill>
          </a:ln>
          <a:effectLst/>
        </c:spPr>
        <c:dLbl>
          <c:idx val="0"/>
          <c:layout>
            <c:manualLayout>
              <c:x val="-0.14166666666666669"/>
              <c:y val="-6.9444444444444489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587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5875">
            <a:solidFill>
              <a:schemeClr val="lt1"/>
            </a:solidFill>
          </a:ln>
          <a:effectLst/>
        </c:spPr>
      </c:pivotFmt>
      <c:pivotFmt>
        <c:idx val="4"/>
        <c:spPr>
          <a:solidFill>
            <a:schemeClr val="accent1"/>
          </a:solidFill>
          <a:ln w="15875">
            <a:solidFill>
              <a:schemeClr val="lt1"/>
            </a:solidFill>
          </a:ln>
          <a:effectLst/>
        </c:spPr>
      </c:pivotFmt>
      <c:pivotFmt>
        <c:idx val="5"/>
        <c:spPr>
          <a:solidFill>
            <a:schemeClr val="accent1"/>
          </a:solidFill>
          <a:ln w="15875">
            <a:solidFill>
              <a:schemeClr val="lt1"/>
            </a:solidFill>
          </a:ln>
          <a:effectLst/>
        </c:spPr>
      </c:pivotFmt>
      <c:pivotFmt>
        <c:idx val="6"/>
        <c:spPr>
          <a:solidFill>
            <a:schemeClr val="accent1"/>
          </a:solidFill>
          <a:ln w="15875">
            <a:solidFill>
              <a:schemeClr val="lt1"/>
            </a:solidFill>
          </a:ln>
          <a:effectLst/>
        </c:spPr>
      </c:pivotFmt>
      <c:pivotFmt>
        <c:idx val="7"/>
        <c:spPr>
          <a:solidFill>
            <a:schemeClr val="accent1"/>
          </a:solidFill>
          <a:ln w="15875">
            <a:solidFill>
              <a:schemeClr val="lt1"/>
            </a:solidFill>
          </a:ln>
          <a:effectLst/>
        </c:spPr>
      </c:pivotFmt>
      <c:pivotFmt>
        <c:idx val="8"/>
        <c:spPr>
          <a:solidFill>
            <a:schemeClr val="accent1"/>
          </a:solidFill>
          <a:ln w="15875">
            <a:solidFill>
              <a:schemeClr val="lt1"/>
            </a:solidFill>
          </a:ln>
          <a:effectLst/>
        </c:spPr>
      </c:pivotFmt>
      <c:pivotFmt>
        <c:idx val="9"/>
        <c:spPr>
          <a:solidFill>
            <a:schemeClr val="accent1"/>
          </a:solidFill>
          <a:ln w="15875">
            <a:solidFill>
              <a:schemeClr val="lt1"/>
            </a:solidFill>
          </a:ln>
          <a:effectLst/>
        </c:spPr>
        <c:dLbl>
          <c:idx val="0"/>
          <c:layout>
            <c:manualLayout>
              <c:x val="-0.14166666666666669"/>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5875">
            <a:solidFill>
              <a:schemeClr val="lt1"/>
            </a:solidFill>
          </a:ln>
          <a:effectLst/>
        </c:spPr>
      </c:pivotFmt>
      <c:pivotFmt>
        <c:idx val="11"/>
        <c:spPr>
          <a:solidFill>
            <a:schemeClr val="accent1"/>
          </a:solidFill>
          <a:ln w="1587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5875">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0570652173913"/>
                  <c:h val="8.7777166544660667E-2"/>
                </c:manualLayout>
              </c15:layout>
            </c:ext>
          </c:extLst>
        </c:dLbl>
      </c:pivotFmt>
      <c:pivotFmt>
        <c:idx val="13"/>
        <c:spPr>
          <a:solidFill>
            <a:schemeClr val="accent1"/>
          </a:solidFill>
          <a:ln w="15875">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41998212328409"/>
                  <c:h val="0.15492467394082202"/>
                </c:manualLayout>
              </c15:layout>
            </c:ext>
          </c:extLst>
        </c:dLbl>
      </c:pivotFmt>
      <c:pivotFmt>
        <c:idx val="14"/>
        <c:spPr>
          <a:solidFill>
            <a:schemeClr val="accent1"/>
          </a:solidFill>
          <a:ln w="15875">
            <a:solidFill>
              <a:schemeClr val="lt1"/>
            </a:solidFill>
          </a:ln>
          <a:effectLst/>
        </c:spPr>
        <c:dLbl>
          <c:idx val="0"/>
          <c:layout>
            <c:manualLayout>
              <c:x val="6.7323124902134768E-2"/>
              <c:y val="-1.2606537408217731E-1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07897887415836"/>
                  <c:h val="0.22207272278364223"/>
                </c:manualLayout>
              </c15:layout>
            </c:ext>
          </c:extLst>
        </c:dLbl>
      </c:pivotFmt>
      <c:pivotFmt>
        <c:idx val="15"/>
        <c:spPr>
          <a:solidFill>
            <a:schemeClr val="accent1"/>
          </a:solidFill>
          <a:ln w="15875">
            <a:solidFill>
              <a:schemeClr val="lt1"/>
            </a:solidFill>
          </a:ln>
          <a:effectLst/>
        </c:spPr>
      </c:pivotFmt>
      <c:pivotFmt>
        <c:idx val="16"/>
        <c:spPr>
          <a:solidFill>
            <a:schemeClr val="accent1"/>
          </a:solidFill>
          <a:ln w="15875">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257096860483323"/>
                  <c:h val="0.15492467394082202"/>
                </c:manualLayout>
              </c15:layout>
            </c:ext>
          </c:extLst>
        </c:dLbl>
      </c:pivotFmt>
      <c:pivotFmt>
        <c:idx val="17"/>
        <c:spPr>
          <a:solidFill>
            <a:schemeClr val="accent1"/>
          </a:solidFill>
          <a:ln w="15875">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502043752283521"/>
                  <c:h val="0.15492467394082202"/>
                </c:manualLayout>
              </c15:layout>
            </c:ext>
          </c:extLst>
        </c:dLbl>
      </c:pivotFmt>
      <c:pivotFmt>
        <c:idx val="18"/>
        <c:spPr>
          <a:solidFill>
            <a:schemeClr val="accent1"/>
          </a:solidFill>
          <a:ln w="15875">
            <a:solidFill>
              <a:schemeClr val="lt1"/>
            </a:solidFill>
          </a:ln>
          <a:effectLst/>
        </c:spPr>
        <c:dLbl>
          <c:idx val="0"/>
          <c:layout>
            <c:manualLayout>
              <c:x val="-0.14166666666666669"/>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5875">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362218800563701"/>
                  <c:h val="0.15492467394082202"/>
                </c:manualLayout>
              </c15:layout>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2"/>
          </a:solidFill>
          <a:ln w="19050">
            <a:solidFill>
              <a:schemeClr val="lt1"/>
            </a:solidFill>
          </a:ln>
          <a:effectLst/>
        </c:spPr>
      </c:pivotFmt>
      <c:pivotFmt>
        <c:idx val="23"/>
        <c:spPr>
          <a:solidFill>
            <a:schemeClr val="accent2">
              <a:lumMod val="60000"/>
            </a:schemeClr>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5"/>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3"/>
          </a:solidFill>
          <a:ln w="19050">
            <a:solidFill>
              <a:schemeClr val="lt1"/>
            </a:solidFill>
          </a:ln>
          <a:effectLst/>
        </c:spPr>
      </c:pivotFmt>
      <c:pivotFmt>
        <c:idx val="28"/>
        <c:spPr>
          <a:solidFill>
            <a:schemeClr val="accent4"/>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bg2"/>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bg2"/>
          </a:solidFill>
          <a:ln w="19050">
            <a:solidFill>
              <a:schemeClr val="lt1"/>
            </a:solidFill>
          </a:ln>
          <a:effectLst/>
        </c:spPr>
      </c:pivotFmt>
      <c:pivotFmt>
        <c:idx val="47"/>
        <c:spPr>
          <a:solidFill>
            <a:schemeClr val="accent1"/>
          </a:solidFill>
          <a:ln w="19050">
            <a:solidFill>
              <a:schemeClr val="lt1"/>
            </a:solidFill>
          </a:ln>
          <a:effectLst/>
        </c:spPr>
      </c:pivotFmt>
    </c:pivotFmts>
    <c:plotArea>
      <c:layout>
        <c:manualLayout>
          <c:layoutTarget val="inner"/>
          <c:xMode val="edge"/>
          <c:yMode val="edge"/>
          <c:x val="6.5039778767688905E-2"/>
          <c:y val="0.1721544443671878"/>
          <c:w val="0.49214238845144359"/>
          <c:h val="0.78722513852435116"/>
        </c:manualLayout>
      </c:layout>
      <c:doughnutChart>
        <c:varyColors val="1"/>
        <c:ser>
          <c:idx val="0"/>
          <c:order val="0"/>
          <c:tx>
            <c:strRef>
              <c:f>Pivot!$B$30</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75-4893-902F-A55E788B51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75-4893-902F-A55E788B51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75-4893-902F-A55E788B51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75-4893-902F-A55E788B51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275-4893-902F-A55E788B519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275-4893-902F-A55E788B5199}"/>
              </c:ext>
            </c:extLst>
          </c:dPt>
          <c:dPt>
            <c:idx val="6"/>
            <c:bubble3D val="0"/>
            <c:spPr>
              <a:solidFill>
                <a:schemeClr val="bg2"/>
              </a:solidFill>
              <a:ln w="19050">
                <a:solidFill>
                  <a:schemeClr val="lt1"/>
                </a:solidFill>
              </a:ln>
              <a:effectLst/>
            </c:spPr>
            <c:extLst>
              <c:ext xmlns:c16="http://schemas.microsoft.com/office/drawing/2014/chart" uri="{C3380CC4-5D6E-409C-BE32-E72D297353CC}">
                <c16:uniqueId val="{0000000D-E275-4893-902F-A55E788B519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275-4893-902F-A55E788B51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Pivot!$A$31:$A$39</c:f>
              <c:strCache>
                <c:ptCount val="8"/>
                <c:pt idx="0">
                  <c:v>Bakery</c:v>
                </c:pt>
                <c:pt idx="1">
                  <c:v>Beverages</c:v>
                </c:pt>
                <c:pt idx="2">
                  <c:v>Cleaning Supplies</c:v>
                </c:pt>
                <c:pt idx="3">
                  <c:v>Dairy</c:v>
                </c:pt>
                <c:pt idx="4">
                  <c:v>Frozen Food</c:v>
                </c:pt>
                <c:pt idx="5">
                  <c:v>Personal Care</c:v>
                </c:pt>
                <c:pt idx="6">
                  <c:v>Snacks</c:v>
                </c:pt>
                <c:pt idx="7">
                  <c:v>Vegetables</c:v>
                </c:pt>
              </c:strCache>
            </c:strRef>
          </c:cat>
          <c:val>
            <c:numRef>
              <c:f>Pivot!$B$31:$B$39</c:f>
              <c:numCache>
                <c:formatCode>General</c:formatCode>
                <c:ptCount val="8"/>
                <c:pt idx="0">
                  <c:v>109</c:v>
                </c:pt>
                <c:pt idx="1">
                  <c:v>100</c:v>
                </c:pt>
                <c:pt idx="2">
                  <c:v>88</c:v>
                </c:pt>
                <c:pt idx="3">
                  <c:v>100</c:v>
                </c:pt>
                <c:pt idx="4">
                  <c:v>97</c:v>
                </c:pt>
                <c:pt idx="5">
                  <c:v>61</c:v>
                </c:pt>
                <c:pt idx="6">
                  <c:v>123</c:v>
                </c:pt>
                <c:pt idx="7">
                  <c:v>113</c:v>
                </c:pt>
              </c:numCache>
            </c:numRef>
          </c:val>
          <c:extLst>
            <c:ext xmlns:c16="http://schemas.microsoft.com/office/drawing/2014/chart" uri="{C3380CC4-5D6E-409C-BE32-E72D297353CC}">
              <c16:uniqueId val="{00000010-E275-4893-902F-A55E788B5199}"/>
            </c:ext>
          </c:extLst>
        </c:ser>
        <c:dLbls>
          <c:showLegendKey val="0"/>
          <c:showVal val="1"/>
          <c:showCatName val="0"/>
          <c:showSerName val="0"/>
          <c:showPercent val="0"/>
          <c:showBubbleSize val="0"/>
          <c:showLeaderLines val="1"/>
        </c:dLbls>
        <c:firstSliceAng val="15"/>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[supermarket.xlsx]Pivot!PivotTable5</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i="1">
                <a:solidFill>
                  <a:srgbClr val="FF0000"/>
                </a:solidFill>
              </a:rPr>
              <a:t>Category</a:t>
            </a:r>
            <a:r>
              <a:rPr lang="en-IN" i="1" baseline="0">
                <a:solidFill>
                  <a:srgbClr val="FF0000"/>
                </a:solidFill>
              </a:rPr>
              <a:t> Analysis</a:t>
            </a:r>
            <a:endParaRPr lang="en-IN" i="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39967564277758"/>
          <c:y val="0.20084581259402792"/>
          <c:w val="0.79448293963254601"/>
          <c:h val="0.5497284193642461"/>
        </c:manualLayout>
      </c:layout>
      <c:barChart>
        <c:barDir val="col"/>
        <c:grouping val="clustered"/>
        <c:varyColors val="0"/>
        <c:ser>
          <c:idx val="0"/>
          <c:order val="0"/>
          <c:tx>
            <c:strRef>
              <c:f>Pivot!$B$46</c:f>
              <c:strCache>
                <c:ptCount val="1"/>
                <c:pt idx="0">
                  <c:v>Sum of Unit Price</c:v>
                </c:pt>
              </c:strCache>
            </c:strRef>
          </c:tx>
          <c:spPr>
            <a:solidFill>
              <a:schemeClr val="accent1"/>
            </a:solidFill>
            <a:ln>
              <a:noFill/>
            </a:ln>
            <a:effectLst/>
          </c:spPr>
          <c:invertIfNegative val="0"/>
          <c:cat>
            <c:strRef>
              <c:f>Pivot!$A$47:$A$55</c:f>
              <c:strCache>
                <c:ptCount val="8"/>
                <c:pt idx="0">
                  <c:v>Bakery</c:v>
                </c:pt>
                <c:pt idx="1">
                  <c:v>Beverages</c:v>
                </c:pt>
                <c:pt idx="2">
                  <c:v>Cleaning Supplies</c:v>
                </c:pt>
                <c:pt idx="3">
                  <c:v>Dairy</c:v>
                </c:pt>
                <c:pt idx="4">
                  <c:v>Frozen Food</c:v>
                </c:pt>
                <c:pt idx="5">
                  <c:v>Personal Care</c:v>
                </c:pt>
                <c:pt idx="6">
                  <c:v>Snacks</c:v>
                </c:pt>
                <c:pt idx="7">
                  <c:v>Vegetables</c:v>
                </c:pt>
              </c:strCache>
            </c:strRef>
          </c:cat>
          <c:val>
            <c:numRef>
              <c:f>Pivot!$B$47:$B$55</c:f>
              <c:numCache>
                <c:formatCode>"₹"0.0,."M"</c:formatCode>
                <c:ptCount val="8"/>
                <c:pt idx="0">
                  <c:v>3101</c:v>
                </c:pt>
                <c:pt idx="1">
                  <c:v>4610.24</c:v>
                </c:pt>
                <c:pt idx="2">
                  <c:v>5610</c:v>
                </c:pt>
                <c:pt idx="3">
                  <c:v>3104</c:v>
                </c:pt>
                <c:pt idx="4">
                  <c:v>12871</c:v>
                </c:pt>
                <c:pt idx="5">
                  <c:v>10979.9</c:v>
                </c:pt>
                <c:pt idx="6">
                  <c:v>3220.5599999999995</c:v>
                </c:pt>
                <c:pt idx="7">
                  <c:v>1332.5</c:v>
                </c:pt>
              </c:numCache>
            </c:numRef>
          </c:val>
          <c:extLst>
            <c:ext xmlns:c16="http://schemas.microsoft.com/office/drawing/2014/chart" uri="{C3380CC4-5D6E-409C-BE32-E72D297353CC}">
              <c16:uniqueId val="{00000000-6A61-4A68-9EEC-BCA7BB300CF8}"/>
            </c:ext>
          </c:extLst>
        </c:ser>
        <c:ser>
          <c:idx val="1"/>
          <c:order val="1"/>
          <c:tx>
            <c:strRef>
              <c:f>Pivot!$C$46</c:f>
              <c:strCache>
                <c:ptCount val="1"/>
                <c:pt idx="0">
                  <c:v>Sum of Gross Total</c:v>
                </c:pt>
              </c:strCache>
            </c:strRef>
          </c:tx>
          <c:spPr>
            <a:solidFill>
              <a:schemeClr val="accent2"/>
            </a:solidFill>
            <a:ln>
              <a:noFill/>
            </a:ln>
            <a:effectLst/>
          </c:spPr>
          <c:invertIfNegative val="0"/>
          <c:cat>
            <c:strRef>
              <c:f>Pivot!$A$47:$A$55</c:f>
              <c:strCache>
                <c:ptCount val="8"/>
                <c:pt idx="0">
                  <c:v>Bakery</c:v>
                </c:pt>
                <c:pt idx="1">
                  <c:v>Beverages</c:v>
                </c:pt>
                <c:pt idx="2">
                  <c:v>Cleaning Supplies</c:v>
                </c:pt>
                <c:pt idx="3">
                  <c:v>Dairy</c:v>
                </c:pt>
                <c:pt idx="4">
                  <c:v>Frozen Food</c:v>
                </c:pt>
                <c:pt idx="5">
                  <c:v>Personal Care</c:v>
                </c:pt>
                <c:pt idx="6">
                  <c:v>Snacks</c:v>
                </c:pt>
                <c:pt idx="7">
                  <c:v>Vegetables</c:v>
                </c:pt>
              </c:strCache>
            </c:strRef>
          </c:cat>
          <c:val>
            <c:numRef>
              <c:f>Pivot!$C$47:$C$55</c:f>
              <c:numCache>
                <c:formatCode>"₹"0.0,."M"</c:formatCode>
                <c:ptCount val="8"/>
                <c:pt idx="0">
                  <c:v>7456</c:v>
                </c:pt>
                <c:pt idx="1">
                  <c:v>10646.23</c:v>
                </c:pt>
                <c:pt idx="2">
                  <c:v>15400</c:v>
                </c:pt>
                <c:pt idx="3">
                  <c:v>7237.5</c:v>
                </c:pt>
                <c:pt idx="4">
                  <c:v>31662.5</c:v>
                </c:pt>
                <c:pt idx="5">
                  <c:v>20079.7</c:v>
                </c:pt>
                <c:pt idx="6">
                  <c:v>9064.7000000000007</c:v>
                </c:pt>
                <c:pt idx="7">
                  <c:v>3876.5</c:v>
                </c:pt>
              </c:numCache>
            </c:numRef>
          </c:val>
          <c:extLst>
            <c:ext xmlns:c16="http://schemas.microsoft.com/office/drawing/2014/chart" uri="{C3380CC4-5D6E-409C-BE32-E72D297353CC}">
              <c16:uniqueId val="{00000001-6A61-4A68-9EEC-BCA7BB300CF8}"/>
            </c:ext>
          </c:extLst>
        </c:ser>
        <c:ser>
          <c:idx val="2"/>
          <c:order val="2"/>
          <c:tx>
            <c:strRef>
              <c:f>Pivot!$D$46</c:f>
              <c:strCache>
                <c:ptCount val="1"/>
                <c:pt idx="0">
                  <c:v>Sum of Final Price</c:v>
                </c:pt>
              </c:strCache>
            </c:strRef>
          </c:tx>
          <c:spPr>
            <a:solidFill>
              <a:schemeClr val="accent3"/>
            </a:solidFill>
            <a:ln>
              <a:noFill/>
            </a:ln>
            <a:effectLst/>
          </c:spPr>
          <c:invertIfNegative val="0"/>
          <c:cat>
            <c:strRef>
              <c:f>Pivot!$A$47:$A$55</c:f>
              <c:strCache>
                <c:ptCount val="8"/>
                <c:pt idx="0">
                  <c:v>Bakery</c:v>
                </c:pt>
                <c:pt idx="1">
                  <c:v>Beverages</c:v>
                </c:pt>
                <c:pt idx="2">
                  <c:v>Cleaning Supplies</c:v>
                </c:pt>
                <c:pt idx="3">
                  <c:v>Dairy</c:v>
                </c:pt>
                <c:pt idx="4">
                  <c:v>Frozen Food</c:v>
                </c:pt>
                <c:pt idx="5">
                  <c:v>Personal Care</c:v>
                </c:pt>
                <c:pt idx="6">
                  <c:v>Snacks</c:v>
                </c:pt>
                <c:pt idx="7">
                  <c:v>Vegetables</c:v>
                </c:pt>
              </c:strCache>
            </c:strRef>
          </c:cat>
          <c:val>
            <c:numRef>
              <c:f>Pivot!$D$47:$D$55</c:f>
              <c:numCache>
                <c:formatCode>"₹"0.0,."M"</c:formatCode>
                <c:ptCount val="8"/>
                <c:pt idx="0">
                  <c:v>7078.7300000000005</c:v>
                </c:pt>
                <c:pt idx="1">
                  <c:v>10106.86</c:v>
                </c:pt>
                <c:pt idx="2">
                  <c:v>14630</c:v>
                </c:pt>
                <c:pt idx="3">
                  <c:v>6890.97</c:v>
                </c:pt>
                <c:pt idx="4">
                  <c:v>30122.65</c:v>
                </c:pt>
                <c:pt idx="5">
                  <c:v>19075.71</c:v>
                </c:pt>
                <c:pt idx="6">
                  <c:v>8607.3700000000008</c:v>
                </c:pt>
                <c:pt idx="7">
                  <c:v>3682.65</c:v>
                </c:pt>
              </c:numCache>
            </c:numRef>
          </c:val>
          <c:extLst>
            <c:ext xmlns:c16="http://schemas.microsoft.com/office/drawing/2014/chart" uri="{C3380CC4-5D6E-409C-BE32-E72D297353CC}">
              <c16:uniqueId val="{00000002-6A61-4A68-9EEC-BCA7BB300CF8}"/>
            </c:ext>
          </c:extLst>
        </c:ser>
        <c:dLbls>
          <c:showLegendKey val="0"/>
          <c:showVal val="0"/>
          <c:showCatName val="0"/>
          <c:showSerName val="0"/>
          <c:showPercent val="0"/>
          <c:showBubbleSize val="0"/>
        </c:dLbls>
        <c:gapWidth val="219"/>
        <c:overlap val="-27"/>
        <c:axId val="700820623"/>
        <c:axId val="700821583"/>
      </c:barChart>
      <c:catAx>
        <c:axId val="700820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00821583"/>
        <c:crosses val="autoZero"/>
        <c:auto val="1"/>
        <c:lblAlgn val="ctr"/>
        <c:lblOffset val="100"/>
        <c:noMultiLvlLbl val="0"/>
      </c:catAx>
      <c:valAx>
        <c:axId val="700821583"/>
        <c:scaling>
          <c:orientation val="minMax"/>
        </c:scaling>
        <c:delete val="0"/>
        <c:axPos val="l"/>
        <c:numFmt formatCode="&quot;₹&quot;0.0,.&quot;M&quot;"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00820623"/>
        <c:crosses val="autoZero"/>
        <c:crossBetween val="between"/>
      </c:valAx>
      <c:spPr>
        <a:noFill/>
        <a:ln>
          <a:noFill/>
        </a:ln>
        <a:effectLst/>
      </c:spPr>
    </c:plotArea>
    <c:legend>
      <c:legendPos val="r"/>
      <c:layout>
        <c:manualLayout>
          <c:xMode val="edge"/>
          <c:yMode val="edge"/>
          <c:x val="0.71755475959027237"/>
          <c:y val="4.0427238261883949E-2"/>
          <c:w val="0.26300078911768099"/>
          <c:h val="0.3213723947251023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[supermarket.xlsx]Pivot!PivotTable8</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rgbClr val="FF0000"/>
                </a:solidFill>
              </a:rPr>
              <a:t>Top 5 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alpha val="98000"/>
            </a:srgbClr>
          </a:solidFill>
          <a:ln w="63500">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alpha val="98000"/>
            </a:srgbClr>
          </a:solidFill>
          <a:ln w="63500">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alpha val="98000"/>
            </a:srgbClr>
          </a:solidFill>
          <a:ln w="63500">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alpha val="98000"/>
            </a:srgbClr>
          </a:solidFill>
          <a:ln w="63500">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alpha val="98000"/>
            </a:srgbClr>
          </a:solidFill>
          <a:ln w="63500">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Pivot!$J$65</c:f>
              <c:strCache>
                <c:ptCount val="1"/>
                <c:pt idx="0">
                  <c:v>Total</c:v>
                </c:pt>
              </c:strCache>
            </c:strRef>
          </c:tx>
          <c:spPr>
            <a:solidFill>
              <a:srgbClr val="92D050">
                <a:alpha val="98000"/>
              </a:srgbClr>
            </a:solidFill>
            <a:ln w="63500">
              <a:solidFill>
                <a:srgbClr val="92D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Pivot!$I$66:$I$72</c:f>
              <c:strCache>
                <c:ptCount val="6"/>
                <c:pt idx="0">
                  <c:v>Chennai</c:v>
                </c:pt>
                <c:pt idx="1">
                  <c:v>Mumbai</c:v>
                </c:pt>
                <c:pt idx="2">
                  <c:v>Bangalore</c:v>
                </c:pt>
                <c:pt idx="3">
                  <c:v>Kolkata</c:v>
                </c:pt>
                <c:pt idx="4">
                  <c:v>Delhi</c:v>
                </c:pt>
                <c:pt idx="5">
                  <c:v>Hyderabad</c:v>
                </c:pt>
              </c:strCache>
            </c:strRef>
          </c:cat>
          <c:val>
            <c:numRef>
              <c:f>Pivot!$J$66:$J$72</c:f>
              <c:numCache>
                <c:formatCode>"₹"0.0,."M"</c:formatCode>
                <c:ptCount val="6"/>
                <c:pt idx="0">
                  <c:v>13674.730000000001</c:v>
                </c:pt>
                <c:pt idx="1">
                  <c:v>14637.7</c:v>
                </c:pt>
                <c:pt idx="2">
                  <c:v>16297.579999999996</c:v>
                </c:pt>
                <c:pt idx="3">
                  <c:v>17125.860000000004</c:v>
                </c:pt>
                <c:pt idx="4">
                  <c:v>18476.27</c:v>
                </c:pt>
                <c:pt idx="5">
                  <c:v>19982.8</c:v>
                </c:pt>
              </c:numCache>
            </c:numRef>
          </c:val>
          <c:extLst>
            <c:ext xmlns:c16="http://schemas.microsoft.com/office/drawing/2014/chart" uri="{C3380CC4-5D6E-409C-BE32-E72D297353CC}">
              <c16:uniqueId val="{00000000-8D68-43DB-882A-307F76033732}"/>
            </c:ext>
          </c:extLst>
        </c:ser>
        <c:dLbls>
          <c:dLblPos val="outEnd"/>
          <c:showLegendKey val="0"/>
          <c:showVal val="1"/>
          <c:showCatName val="0"/>
          <c:showSerName val="0"/>
          <c:showPercent val="0"/>
          <c:showBubbleSize val="0"/>
        </c:dLbls>
        <c:gapWidth val="155"/>
        <c:axId val="620747231"/>
        <c:axId val="620746271"/>
      </c:barChart>
      <c:catAx>
        <c:axId val="6207472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620746271"/>
        <c:crosses val="autoZero"/>
        <c:auto val="1"/>
        <c:lblAlgn val="ctr"/>
        <c:lblOffset val="100"/>
        <c:noMultiLvlLbl val="0"/>
      </c:catAx>
      <c:valAx>
        <c:axId val="620746271"/>
        <c:scaling>
          <c:orientation val="minMax"/>
        </c:scaling>
        <c:delete val="1"/>
        <c:axPos val="b"/>
        <c:numFmt formatCode="&quot;₹&quot;0.0,.&quot;M&quot;" sourceLinked="1"/>
        <c:majorTickMark val="out"/>
        <c:minorTickMark val="none"/>
        <c:tickLblPos val="nextTo"/>
        <c:crossAx val="62074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[supermarket.xlsx]Pivot!PivotTable7</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rgbClr val="FF0000"/>
                </a:solidFill>
              </a:rPr>
              <a:t>Payment</a:t>
            </a:r>
            <a:r>
              <a:rPr lang="en-US" i="1" baseline="0">
                <a:solidFill>
                  <a:srgbClr val="FF0000"/>
                </a:solidFill>
              </a:rPr>
              <a:t> type</a:t>
            </a:r>
            <a:endParaRPr lang="en-US" i="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8.3576837847935403E-2"/>
              <c:y val="-0.1565970820786051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264763964362875"/>
                  <c:h val="0.14310578427827431"/>
                </c:manualLayout>
              </c15:layout>
            </c:ext>
          </c:extLst>
        </c:dLbl>
      </c:pivotFmt>
      <c:pivotFmt>
        <c:idx val="9"/>
        <c:spPr>
          <a:solidFill>
            <a:schemeClr val="accent1"/>
          </a:solidFill>
          <a:ln w="19050">
            <a:solidFill>
              <a:schemeClr val="lt1"/>
            </a:solidFill>
          </a:ln>
          <a:effectLst/>
        </c:spPr>
        <c:dLbl>
          <c:idx val="0"/>
          <c:layout>
            <c:manualLayout>
              <c:x val="0.1506295008470438"/>
              <c:y val="-0.1206839725382695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627998505565585"/>
                  <c:h val="0.14291523063742442"/>
                </c:manualLayout>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5">
              <a:lumMod val="60000"/>
              <a:lumOff val="40000"/>
            </a:schemeClr>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8.3576837847935403E-2"/>
              <c:y val="-0.1565970820786051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264763964362875"/>
                  <c:h val="0.14310578427827431"/>
                </c:manualLayout>
              </c15:layout>
            </c:ext>
          </c:extLst>
        </c:dLbl>
      </c:pivotFmt>
      <c:pivotFmt>
        <c:idx val="14"/>
        <c:spPr>
          <a:solidFill>
            <a:schemeClr val="accent1"/>
          </a:solidFill>
          <a:ln w="19050">
            <a:solidFill>
              <a:schemeClr val="lt1"/>
            </a:solidFill>
          </a:ln>
          <a:effectLst/>
        </c:spPr>
        <c:dLbl>
          <c:idx val="0"/>
          <c:layout>
            <c:manualLayout>
              <c:x val="0.1506295008470438"/>
              <c:y val="-0.1206839725382695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627998505565585"/>
                  <c:h val="0.14291523063742442"/>
                </c:manualLayout>
              </c15:layout>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5">
              <a:lumMod val="60000"/>
              <a:lumOff val="40000"/>
            </a:schemeClr>
          </a:solidFill>
          <a:ln w="19050">
            <a:solidFill>
              <a:schemeClr val="lt1"/>
            </a:solidFill>
          </a:ln>
          <a:effectLst/>
        </c:spPr>
      </c:pivotFmt>
      <c:pivotFmt>
        <c:idx val="18"/>
        <c:spPr>
          <a:solidFill>
            <a:schemeClr val="accent1"/>
          </a:solidFill>
          <a:ln w="19050">
            <a:solidFill>
              <a:schemeClr val="lt1"/>
            </a:solidFill>
          </a:ln>
          <a:effectLst/>
        </c:spPr>
        <c:dLbl>
          <c:idx val="0"/>
          <c:layout>
            <c:manualLayout>
              <c:x val="-8.3576837847935403E-2"/>
              <c:y val="-0.1565970820786051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264763964362875"/>
                  <c:h val="0.14310578427827431"/>
                </c:manualLayout>
              </c15:layout>
            </c:ext>
          </c:extLst>
        </c:dLbl>
      </c:pivotFmt>
      <c:pivotFmt>
        <c:idx val="19"/>
        <c:spPr>
          <a:solidFill>
            <a:schemeClr val="accent1"/>
          </a:solidFill>
          <a:ln w="19050">
            <a:solidFill>
              <a:schemeClr val="lt1"/>
            </a:solidFill>
          </a:ln>
          <a:effectLst/>
        </c:spPr>
        <c:dLbl>
          <c:idx val="0"/>
          <c:layout>
            <c:manualLayout>
              <c:x val="0.1506295008470438"/>
              <c:y val="-0.1206839725382695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627998505565585"/>
                  <c:h val="0.14291523063742442"/>
                </c:manualLayout>
              </c15:layout>
            </c:ext>
          </c:extLst>
        </c:dLbl>
      </c:pivotFmt>
      <c:pivotFmt>
        <c:idx val="20"/>
        <c:spPr>
          <a:solidFill>
            <a:schemeClr val="accent1"/>
          </a:solidFill>
          <a:ln w="19050">
            <a:solidFill>
              <a:schemeClr val="lt1"/>
            </a:solidFill>
          </a:ln>
          <a:effectLst/>
        </c:spPr>
      </c:pivotFmt>
    </c:pivotFmts>
    <c:plotArea>
      <c:layout/>
      <c:pieChart>
        <c:varyColors val="1"/>
        <c:ser>
          <c:idx val="0"/>
          <c:order val="0"/>
          <c:tx>
            <c:strRef>
              <c:f>Pivot!$B$66</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ADCC-4EEF-969D-0A9CE706D1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CC-4EEF-969D-0A9CE706D1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CC-4EEF-969D-0A9CE706D1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CC-4EEF-969D-0A9CE706D1D2}"/>
              </c:ext>
            </c:extLst>
          </c:dPt>
          <c:dLbls>
            <c:dLbl>
              <c:idx val="1"/>
              <c:layout>
                <c:manualLayout>
                  <c:x val="-8.3576837847935403E-2"/>
                  <c:y val="-0.1565970820786051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6264763964362875"/>
                      <c:h val="0.14310578427827431"/>
                    </c:manualLayout>
                  </c15:layout>
                </c:ext>
                <c:ext xmlns:c16="http://schemas.microsoft.com/office/drawing/2014/chart" uri="{C3380CC4-5D6E-409C-BE32-E72D297353CC}">
                  <c16:uniqueId val="{00000003-ADCC-4EEF-969D-0A9CE706D1D2}"/>
                </c:ext>
              </c:extLst>
            </c:dLbl>
            <c:dLbl>
              <c:idx val="2"/>
              <c:layout>
                <c:manualLayout>
                  <c:x val="0.1506295008470438"/>
                  <c:y val="-0.1206839725382695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627998505565585"/>
                      <c:h val="0.14291523063742442"/>
                    </c:manualLayout>
                  </c15:layout>
                </c:ext>
                <c:ext xmlns:c16="http://schemas.microsoft.com/office/drawing/2014/chart" uri="{C3380CC4-5D6E-409C-BE32-E72D297353CC}">
                  <c16:uniqueId val="{00000005-ADCC-4EEF-969D-0A9CE706D1D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Pivot!$A$67:$A$71</c:f>
              <c:strCache>
                <c:ptCount val="4"/>
                <c:pt idx="0">
                  <c:v>Cash</c:v>
                </c:pt>
                <c:pt idx="1">
                  <c:v>Credit Card</c:v>
                </c:pt>
                <c:pt idx="2">
                  <c:v>Debit Card</c:v>
                </c:pt>
                <c:pt idx="3">
                  <c:v>UPI</c:v>
                </c:pt>
              </c:strCache>
            </c:strRef>
          </c:cat>
          <c:val>
            <c:numRef>
              <c:f>Pivot!$B$67:$B$71</c:f>
              <c:numCache>
                <c:formatCode>General</c:formatCode>
                <c:ptCount val="4"/>
                <c:pt idx="0">
                  <c:v>81</c:v>
                </c:pt>
                <c:pt idx="1">
                  <c:v>74</c:v>
                </c:pt>
                <c:pt idx="2">
                  <c:v>67</c:v>
                </c:pt>
                <c:pt idx="3">
                  <c:v>78</c:v>
                </c:pt>
              </c:numCache>
            </c:numRef>
          </c:val>
          <c:extLst>
            <c:ext xmlns:c16="http://schemas.microsoft.com/office/drawing/2014/chart" uri="{C3380CC4-5D6E-409C-BE32-E72D297353CC}">
              <c16:uniqueId val="{00000008-ADCC-4EEF-969D-0A9CE706D1D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[supermarket.xlsx]Pivot!PivotTable9</c:name>
    <c:fmtId val="1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rgbClr val="FF0000"/>
                </a:solidFill>
              </a:rPr>
              <a:t>Category Discount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Pivot!$B$85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CE36-4497-91EC-5FC366C781D8}"/>
              </c:ext>
            </c:extLst>
          </c:dPt>
          <c:dPt>
            <c:idx val="7"/>
            <c:bubble3D val="0"/>
            <c:spPr>
              <a:solidFill>
                <a:schemeClr val="accent2">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Pivot!$A$86:$A$94</c:f>
              <c:strCache>
                <c:ptCount val="8"/>
                <c:pt idx="0">
                  <c:v>Bakery</c:v>
                </c:pt>
                <c:pt idx="1">
                  <c:v>Beverages</c:v>
                </c:pt>
                <c:pt idx="2">
                  <c:v>Cleaning Supplies</c:v>
                </c:pt>
                <c:pt idx="3">
                  <c:v>Dairy</c:v>
                </c:pt>
                <c:pt idx="4">
                  <c:v>Frozen Food</c:v>
                </c:pt>
                <c:pt idx="5">
                  <c:v>Personal Care</c:v>
                </c:pt>
                <c:pt idx="6">
                  <c:v>Snacks</c:v>
                </c:pt>
                <c:pt idx="7">
                  <c:v>Vegetables</c:v>
                </c:pt>
              </c:strCache>
            </c:strRef>
          </c:cat>
          <c:val>
            <c:numRef>
              <c:f>Pivot!$B$86:$B$94</c:f>
              <c:numCache>
                <c:formatCode>General</c:formatCode>
                <c:ptCount val="8"/>
                <c:pt idx="0">
                  <c:v>377.27000000000004</c:v>
                </c:pt>
                <c:pt idx="1">
                  <c:v>539.37000000000012</c:v>
                </c:pt>
                <c:pt idx="2">
                  <c:v>770</c:v>
                </c:pt>
                <c:pt idx="3">
                  <c:v>346.53</c:v>
                </c:pt>
                <c:pt idx="4">
                  <c:v>1539.85</c:v>
                </c:pt>
                <c:pt idx="5">
                  <c:v>1003.99</c:v>
                </c:pt>
                <c:pt idx="6">
                  <c:v>457.32999999999987</c:v>
                </c:pt>
                <c:pt idx="7">
                  <c:v>193.85999999999999</c:v>
                </c:pt>
              </c:numCache>
            </c:numRef>
          </c:val>
          <c:extLst>
            <c:ext xmlns:c16="http://schemas.microsoft.com/office/drawing/2014/chart" uri="{C3380CC4-5D6E-409C-BE32-E72D297353CC}">
              <c16:uniqueId val="{00000000-CE36-4497-91EC-5FC366C781D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[supermarket.xlsx]Pivot!PivotTable2</c:name>
    <c:fmtId val="3"/>
  </c:pivotSource>
  <c:chart>
    <c:title>
      <c:tx>
        <c:rich>
          <a:bodyPr rot="0" spcFirstLastPara="1" vertOverflow="ellipsis" vert="horz" wrap="square" anchor="ctr" anchorCtr="1"/>
          <a:lstStyle/>
          <a:p>
            <a:pPr>
              <a:defRPr sz="1400" b="0" i="1" u="none" strike="noStrike" kern="1200" cap="none" spc="20" baseline="0">
                <a:solidFill>
                  <a:srgbClr val="FF0000"/>
                </a:solidFill>
                <a:latin typeface="+mn-lt"/>
                <a:ea typeface="+mn-ea"/>
                <a:cs typeface="+mn-cs"/>
              </a:defRPr>
            </a:pPr>
            <a:r>
              <a:rPr lang="en-US" i="1">
                <a:solidFill>
                  <a:srgbClr val="FF0000"/>
                </a:solidFill>
              </a:rPr>
              <a:t>Monthlywise sales</a:t>
            </a:r>
          </a:p>
        </c:rich>
      </c:tx>
      <c:overlay val="0"/>
      <c:spPr>
        <a:noFill/>
        <a:ln>
          <a:noFill/>
        </a:ln>
        <a:effectLst/>
      </c:spPr>
      <c:txPr>
        <a:bodyPr rot="0" spcFirstLastPara="1" vertOverflow="ellipsis" vert="horz" wrap="square" anchor="ctr" anchorCtr="1"/>
        <a:lstStyle/>
        <a:p>
          <a:pPr>
            <a:defRPr sz="1400" b="0" i="1" u="none" strike="noStrike" kern="1200" cap="none" spc="20" baseline="0">
              <a:solidFill>
                <a:srgbClr val="FF0000"/>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rgbClr val="92D05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05542717007522E-2"/>
          <c:y val="0.20393690928890471"/>
          <c:w val="0.92282138924814117"/>
          <c:h val="0.63987951386260267"/>
        </c:manualLayout>
      </c:layout>
      <c:lineChart>
        <c:grouping val="standard"/>
        <c:varyColors val="0"/>
        <c:ser>
          <c:idx val="0"/>
          <c:order val="0"/>
          <c:tx>
            <c:strRef>
              <c:f>Pivot!$B$13</c:f>
              <c:strCache>
                <c:ptCount val="1"/>
                <c:pt idx="0">
                  <c:v>Total</c:v>
                </c:pt>
              </c:strCache>
            </c:strRef>
          </c:tx>
          <c:spPr>
            <a:ln w="22225" cap="rnd" cmpd="sng" algn="ctr">
              <a:solidFill>
                <a:srgbClr val="92D050"/>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Pivot!$B$14:$B$26</c:f>
              <c:numCache>
                <c:formatCode>"₹"0.0,."M"</c:formatCode>
                <c:ptCount val="12"/>
                <c:pt idx="0">
                  <c:v>10182.94</c:v>
                </c:pt>
                <c:pt idx="1">
                  <c:v>8365.3600000000024</c:v>
                </c:pt>
                <c:pt idx="2">
                  <c:v>9363.84</c:v>
                </c:pt>
                <c:pt idx="3">
                  <c:v>8212.27</c:v>
                </c:pt>
                <c:pt idx="4">
                  <c:v>6664.2699999999995</c:v>
                </c:pt>
                <c:pt idx="5">
                  <c:v>7153.96</c:v>
                </c:pt>
                <c:pt idx="6">
                  <c:v>11035.720000000001</c:v>
                </c:pt>
                <c:pt idx="7">
                  <c:v>6334.0500000000011</c:v>
                </c:pt>
                <c:pt idx="8">
                  <c:v>7064.4299999999994</c:v>
                </c:pt>
                <c:pt idx="9">
                  <c:v>5154.1399999999994</c:v>
                </c:pt>
                <c:pt idx="10">
                  <c:v>10186.529999999999</c:v>
                </c:pt>
                <c:pt idx="11">
                  <c:v>10477.430000000002</c:v>
                </c:pt>
              </c:numCache>
            </c:numRef>
          </c:val>
          <c:smooth val="0"/>
          <c:extLst>
            <c:ext xmlns:c16="http://schemas.microsoft.com/office/drawing/2014/chart" uri="{C3380CC4-5D6E-409C-BE32-E72D297353CC}">
              <c16:uniqueId val="{00000000-920B-42AF-B7B7-332270787636}"/>
            </c:ext>
          </c:extLst>
        </c:ser>
        <c:dLbls>
          <c:dLblPos val="t"/>
          <c:showLegendKey val="0"/>
          <c:showVal val="1"/>
          <c:showCatName val="0"/>
          <c:showSerName val="0"/>
          <c:showPercent val="0"/>
          <c:showBubbleSize val="0"/>
        </c:dLbls>
        <c:dropLines>
          <c:spPr>
            <a:ln w="9525" cap="flat" cmpd="sng" algn="ctr">
              <a:solidFill>
                <a:srgbClr val="00B050">
                  <a:alpha val="30000"/>
                </a:srgbClr>
              </a:solidFill>
              <a:round/>
            </a:ln>
            <a:effectLst/>
          </c:spPr>
        </c:dropLines>
        <c:marker val="1"/>
        <c:smooth val="0"/>
        <c:axId val="466549231"/>
        <c:axId val="466546831"/>
      </c:lineChart>
      <c:catAx>
        <c:axId val="4665492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1" i="0" u="none" strike="noStrike" kern="1200" spc="20" baseline="0">
                <a:solidFill>
                  <a:schemeClr val="dk1">
                    <a:lumMod val="65000"/>
                    <a:lumOff val="35000"/>
                  </a:schemeClr>
                </a:solidFill>
                <a:latin typeface="+mn-lt"/>
                <a:ea typeface="+mn-ea"/>
                <a:cs typeface="+mn-cs"/>
              </a:defRPr>
            </a:pPr>
            <a:endParaRPr lang="en-US"/>
          </a:p>
        </c:txPr>
        <c:crossAx val="466546831"/>
        <c:crosses val="autoZero"/>
        <c:auto val="1"/>
        <c:lblAlgn val="ctr"/>
        <c:lblOffset val="100"/>
        <c:noMultiLvlLbl val="0"/>
      </c:catAx>
      <c:valAx>
        <c:axId val="466546831"/>
        <c:scaling>
          <c:orientation val="minMax"/>
        </c:scaling>
        <c:delete val="0"/>
        <c:axPos val="l"/>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spc="20" baseline="0">
                <a:solidFill>
                  <a:schemeClr val="dk1">
                    <a:lumMod val="65000"/>
                    <a:lumOff val="35000"/>
                  </a:schemeClr>
                </a:solidFill>
                <a:latin typeface="+mn-lt"/>
                <a:ea typeface="+mn-ea"/>
                <a:cs typeface="+mn-cs"/>
              </a:defRPr>
            </a:pPr>
            <a:endParaRPr lang="en-US"/>
          </a:p>
        </c:txPr>
        <c:crossAx val="466549231"/>
        <c:crosses val="autoZero"/>
        <c:crossBetween val="between"/>
      </c:valAx>
      <c:spPr>
        <a:solidFill>
          <a:schemeClr val="accent2">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Category</a:t>
            </a:r>
            <a:r>
              <a:rPr lang="en-US" b="1" i="1" baseline="0">
                <a:solidFill>
                  <a:srgbClr val="FF0000"/>
                </a:solidFill>
              </a:rPr>
              <a:t> count</a:t>
            </a:r>
            <a:endParaRPr lang="en-US" b="1" i="1">
              <a:solidFill>
                <a:srgbClr val="FF0000"/>
              </a:solidFill>
            </a:endParaRPr>
          </a:p>
        </c:rich>
      </c:tx>
      <c:layout>
        <c:manualLayout>
          <c:xMode val="edge"/>
          <c:yMode val="edge"/>
          <c:x val="0.14153969385585879"/>
          <c:y val="7.074767428505800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5875">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lumMod val="60000"/>
            </a:schemeClr>
          </a:solidFill>
          <a:ln w="15875">
            <a:solidFill>
              <a:schemeClr val="lt1"/>
            </a:solidFill>
          </a:ln>
          <a:effectLst/>
        </c:spPr>
        <c:dLbl>
          <c:idx val="0"/>
          <c:layout>
            <c:manualLayout>
              <c:x val="-0.14166666666666669"/>
              <c:y val="-6.9444444444444489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587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5875">
            <a:solidFill>
              <a:schemeClr val="lt1"/>
            </a:solidFill>
          </a:ln>
          <a:effectLst/>
        </c:spPr>
      </c:pivotFmt>
      <c:pivotFmt>
        <c:idx val="4"/>
        <c:spPr>
          <a:solidFill>
            <a:schemeClr val="accent1"/>
          </a:solidFill>
          <a:ln w="15875">
            <a:solidFill>
              <a:schemeClr val="lt1"/>
            </a:solidFill>
          </a:ln>
          <a:effectLst/>
        </c:spPr>
      </c:pivotFmt>
      <c:pivotFmt>
        <c:idx val="5"/>
        <c:spPr>
          <a:solidFill>
            <a:schemeClr val="accent1"/>
          </a:solidFill>
          <a:ln w="15875">
            <a:solidFill>
              <a:schemeClr val="lt1"/>
            </a:solidFill>
          </a:ln>
          <a:effectLst/>
        </c:spPr>
      </c:pivotFmt>
      <c:pivotFmt>
        <c:idx val="6"/>
        <c:spPr>
          <a:solidFill>
            <a:schemeClr val="accent1"/>
          </a:solidFill>
          <a:ln w="15875">
            <a:solidFill>
              <a:schemeClr val="lt1"/>
            </a:solidFill>
          </a:ln>
          <a:effectLst/>
        </c:spPr>
      </c:pivotFmt>
      <c:pivotFmt>
        <c:idx val="7"/>
        <c:spPr>
          <a:solidFill>
            <a:schemeClr val="accent1"/>
          </a:solidFill>
          <a:ln w="15875">
            <a:solidFill>
              <a:schemeClr val="lt1"/>
            </a:solidFill>
          </a:ln>
          <a:effectLst/>
        </c:spPr>
      </c:pivotFmt>
      <c:pivotFmt>
        <c:idx val="8"/>
        <c:spPr>
          <a:solidFill>
            <a:schemeClr val="accent1"/>
          </a:solidFill>
          <a:ln w="15875">
            <a:solidFill>
              <a:schemeClr val="lt1"/>
            </a:solidFill>
          </a:ln>
          <a:effectLst/>
        </c:spPr>
      </c:pivotFmt>
      <c:pivotFmt>
        <c:idx val="9"/>
        <c:spPr>
          <a:solidFill>
            <a:schemeClr val="accent1"/>
          </a:solidFill>
          <a:ln w="15875">
            <a:solidFill>
              <a:schemeClr val="lt1"/>
            </a:solidFill>
          </a:ln>
          <a:effectLst/>
        </c:spPr>
        <c:dLbl>
          <c:idx val="0"/>
          <c:layout>
            <c:manualLayout>
              <c:x val="-0.14166666666666669"/>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5875">
            <a:solidFill>
              <a:schemeClr val="lt1"/>
            </a:solidFill>
          </a:ln>
          <a:effectLst/>
        </c:spPr>
      </c:pivotFmt>
      <c:pivotFmt>
        <c:idx val="11"/>
        <c:spPr>
          <a:solidFill>
            <a:schemeClr val="accent1"/>
          </a:solidFill>
          <a:ln w="1587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5875">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0570652173913"/>
                  <c:h val="8.7777166544660667E-2"/>
                </c:manualLayout>
              </c15:layout>
            </c:ext>
          </c:extLst>
        </c:dLbl>
      </c:pivotFmt>
      <c:pivotFmt>
        <c:idx val="13"/>
        <c:spPr>
          <a:solidFill>
            <a:schemeClr val="accent1"/>
          </a:solidFill>
          <a:ln w="15875">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41998212328409"/>
                  <c:h val="0.15492467394082202"/>
                </c:manualLayout>
              </c15:layout>
            </c:ext>
          </c:extLst>
        </c:dLbl>
      </c:pivotFmt>
      <c:pivotFmt>
        <c:idx val="14"/>
        <c:spPr>
          <a:solidFill>
            <a:schemeClr val="accent1"/>
          </a:solidFill>
          <a:ln w="15875">
            <a:solidFill>
              <a:schemeClr val="lt1"/>
            </a:solidFill>
          </a:ln>
          <a:effectLst/>
        </c:spPr>
        <c:dLbl>
          <c:idx val="0"/>
          <c:layout>
            <c:manualLayout>
              <c:x val="6.7323124902134768E-2"/>
              <c:y val="-1.2606537408217731E-1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07897887415836"/>
                  <c:h val="0.22207272278364223"/>
                </c:manualLayout>
              </c15:layout>
            </c:ext>
          </c:extLst>
        </c:dLbl>
      </c:pivotFmt>
      <c:pivotFmt>
        <c:idx val="15"/>
        <c:spPr>
          <a:solidFill>
            <a:schemeClr val="accent1"/>
          </a:solidFill>
          <a:ln w="15875">
            <a:solidFill>
              <a:schemeClr val="lt1"/>
            </a:solidFill>
          </a:ln>
          <a:effectLst/>
        </c:spPr>
      </c:pivotFmt>
      <c:pivotFmt>
        <c:idx val="16"/>
        <c:spPr>
          <a:solidFill>
            <a:schemeClr val="accent1"/>
          </a:solidFill>
          <a:ln w="15875">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257096860483323"/>
                  <c:h val="0.15492467394082202"/>
                </c:manualLayout>
              </c15:layout>
            </c:ext>
          </c:extLst>
        </c:dLbl>
      </c:pivotFmt>
      <c:pivotFmt>
        <c:idx val="17"/>
        <c:spPr>
          <a:solidFill>
            <a:schemeClr val="accent1"/>
          </a:solidFill>
          <a:ln w="15875">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502043752283521"/>
                  <c:h val="0.15492467394082202"/>
                </c:manualLayout>
              </c15:layout>
            </c:ext>
          </c:extLst>
        </c:dLbl>
      </c:pivotFmt>
      <c:pivotFmt>
        <c:idx val="18"/>
        <c:spPr>
          <a:solidFill>
            <a:schemeClr val="accent1"/>
          </a:solidFill>
          <a:ln w="15875">
            <a:solidFill>
              <a:schemeClr val="lt1"/>
            </a:solidFill>
          </a:ln>
          <a:effectLst/>
        </c:spPr>
        <c:dLbl>
          <c:idx val="0"/>
          <c:layout>
            <c:manualLayout>
              <c:x val="-0.14166666666666669"/>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5875">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362218800563701"/>
                  <c:h val="0.15492467394082202"/>
                </c:manualLayout>
              </c15:layout>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2"/>
          </a:solidFill>
          <a:ln w="19050">
            <a:solidFill>
              <a:schemeClr val="lt1"/>
            </a:solidFill>
          </a:ln>
          <a:effectLst/>
        </c:spPr>
      </c:pivotFmt>
      <c:pivotFmt>
        <c:idx val="23"/>
        <c:spPr>
          <a:solidFill>
            <a:schemeClr val="accent2">
              <a:lumMod val="60000"/>
            </a:schemeClr>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5"/>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3"/>
          </a:solidFill>
          <a:ln w="19050">
            <a:solidFill>
              <a:schemeClr val="lt1"/>
            </a:solidFill>
          </a:ln>
          <a:effectLst/>
        </c:spPr>
      </c:pivotFmt>
      <c:pivotFmt>
        <c:idx val="28"/>
        <c:spPr>
          <a:solidFill>
            <a:schemeClr val="accent4"/>
          </a:solidFill>
          <a:ln w="19050">
            <a:solidFill>
              <a:schemeClr val="lt1"/>
            </a:solidFill>
          </a:ln>
          <a:effectLst/>
        </c:spPr>
      </c:pivotFmt>
      <c:pivotFmt>
        <c:idx val="29"/>
        <c:spPr>
          <a:solidFill>
            <a:schemeClr val="accent1"/>
          </a:solidFill>
          <a:ln w="19050">
            <a:solidFill>
              <a:schemeClr val="lt1"/>
            </a:solidFill>
          </a:ln>
          <a:effectLst/>
        </c:spPr>
      </c:pivotFmt>
    </c:pivotFmts>
    <c:plotArea>
      <c:layout>
        <c:manualLayout>
          <c:layoutTarget val="inner"/>
          <c:xMode val="edge"/>
          <c:yMode val="edge"/>
          <c:x val="7.5650853894667136E-2"/>
          <c:y val="0.21233945057562992"/>
          <c:w val="0.49214238845144359"/>
          <c:h val="0.78722513852435116"/>
        </c:manualLayout>
      </c:layout>
      <c:doughnutChart>
        <c:varyColors val="1"/>
        <c:ser>
          <c:idx val="0"/>
          <c:order val="0"/>
          <c:tx>
            <c:strRef>
              <c:f>Pivot!$B$30</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B-7C95-465C-9281-E3F285E840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7C95-465C-9281-E3F285E840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7C95-465C-9281-E3F285E840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A-7C95-465C-9281-E3F285E840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7-7C95-465C-9281-E3F285E8401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6-7C95-465C-9281-E3F285E84017}"/>
              </c:ext>
            </c:extLst>
          </c:dPt>
          <c:dPt>
            <c:idx val="6"/>
            <c:bubble3D val="0"/>
            <c:spPr>
              <a:solidFill>
                <a:schemeClr val="bg2"/>
              </a:solidFill>
              <a:ln w="19050">
                <a:solidFill>
                  <a:schemeClr val="lt1"/>
                </a:solidFill>
              </a:ln>
              <a:effectLst/>
            </c:spPr>
            <c:extLst>
              <c:ext xmlns:c16="http://schemas.microsoft.com/office/drawing/2014/chart" uri="{C3380CC4-5D6E-409C-BE32-E72D297353CC}">
                <c16:uniqueId val="{00000014-7C95-465C-9281-E3F285E8401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5-7C95-465C-9281-E3F285E840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Pivot!$A$31:$A$39</c:f>
              <c:strCache>
                <c:ptCount val="8"/>
                <c:pt idx="0">
                  <c:v>Bakery</c:v>
                </c:pt>
                <c:pt idx="1">
                  <c:v>Beverages</c:v>
                </c:pt>
                <c:pt idx="2">
                  <c:v>Cleaning Supplies</c:v>
                </c:pt>
                <c:pt idx="3">
                  <c:v>Dairy</c:v>
                </c:pt>
                <c:pt idx="4">
                  <c:v>Frozen Food</c:v>
                </c:pt>
                <c:pt idx="5">
                  <c:v>Personal Care</c:v>
                </c:pt>
                <c:pt idx="6">
                  <c:v>Snacks</c:v>
                </c:pt>
                <c:pt idx="7">
                  <c:v>Vegetables</c:v>
                </c:pt>
              </c:strCache>
            </c:strRef>
          </c:cat>
          <c:val>
            <c:numRef>
              <c:f>Pivot!$B$31:$B$39</c:f>
              <c:numCache>
                <c:formatCode>General</c:formatCode>
                <c:ptCount val="8"/>
                <c:pt idx="0">
                  <c:v>109</c:v>
                </c:pt>
                <c:pt idx="1">
                  <c:v>100</c:v>
                </c:pt>
                <c:pt idx="2">
                  <c:v>88</c:v>
                </c:pt>
                <c:pt idx="3">
                  <c:v>100</c:v>
                </c:pt>
                <c:pt idx="4">
                  <c:v>97</c:v>
                </c:pt>
                <c:pt idx="5">
                  <c:v>61</c:v>
                </c:pt>
                <c:pt idx="6">
                  <c:v>123</c:v>
                </c:pt>
                <c:pt idx="7">
                  <c:v>113</c:v>
                </c:pt>
              </c:numCache>
            </c:numRef>
          </c:val>
          <c:extLst>
            <c:ext xmlns:c16="http://schemas.microsoft.com/office/drawing/2014/chart" uri="{C3380CC4-5D6E-409C-BE32-E72D297353CC}">
              <c16:uniqueId val="{00000013-7C95-465C-9281-E3F285E84017}"/>
            </c:ext>
          </c:extLst>
        </c:ser>
        <c:dLbls>
          <c:showLegendKey val="0"/>
          <c:showVal val="1"/>
          <c:showCatName val="0"/>
          <c:showSerName val="0"/>
          <c:showPercent val="0"/>
          <c:showBubbleSize val="0"/>
          <c:showLeaderLines val="1"/>
        </c:dLbls>
        <c:firstSliceAng val="15"/>
        <c:holeSize val="70"/>
      </c:doughnutChart>
      <c:spPr>
        <a:noFill/>
        <a:ln>
          <a:noFill/>
        </a:ln>
        <a:effectLst/>
      </c:spPr>
    </c:plotArea>
    <c:legend>
      <c:legendPos val="r"/>
      <c:layout>
        <c:manualLayout>
          <c:xMode val="edge"/>
          <c:yMode val="edge"/>
          <c:x val="0.62390917515872635"/>
          <c:y val="0.36223361859113568"/>
          <c:w val="0.36818640975865385"/>
          <c:h val="0.42606319723376074"/>
        </c:manualLayout>
      </c:layout>
      <c:overlay val="0"/>
      <c:spPr>
        <a:noFill/>
        <a:ln>
          <a:noFill/>
        </a:ln>
        <a:effectLst/>
      </c:spPr>
      <c:txPr>
        <a:bodyPr rot="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[supermarket.xlsx]Pivot!PivotTable5</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i="1">
                <a:solidFill>
                  <a:srgbClr val="FF0000"/>
                </a:solidFill>
              </a:rPr>
              <a:t>Category</a:t>
            </a:r>
            <a:r>
              <a:rPr lang="en-IN" i="1" baseline="0">
                <a:solidFill>
                  <a:srgbClr val="FF0000"/>
                </a:solidFill>
              </a:rPr>
              <a:t> Analysis</a:t>
            </a:r>
            <a:endParaRPr lang="en-IN" i="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39967564277758"/>
          <c:y val="0.20084581259402792"/>
          <c:w val="0.79448293963254601"/>
          <c:h val="0.5497284193642461"/>
        </c:manualLayout>
      </c:layout>
      <c:barChart>
        <c:barDir val="col"/>
        <c:grouping val="clustered"/>
        <c:varyColors val="0"/>
        <c:ser>
          <c:idx val="0"/>
          <c:order val="0"/>
          <c:tx>
            <c:strRef>
              <c:f>Pivot!$B$46</c:f>
              <c:strCache>
                <c:ptCount val="1"/>
                <c:pt idx="0">
                  <c:v>Sum of Unit Price</c:v>
                </c:pt>
              </c:strCache>
            </c:strRef>
          </c:tx>
          <c:spPr>
            <a:solidFill>
              <a:schemeClr val="accent1"/>
            </a:solidFill>
            <a:ln>
              <a:noFill/>
            </a:ln>
            <a:effectLst/>
          </c:spPr>
          <c:invertIfNegative val="0"/>
          <c:cat>
            <c:strRef>
              <c:f>Pivot!$A$47:$A$55</c:f>
              <c:strCache>
                <c:ptCount val="8"/>
                <c:pt idx="0">
                  <c:v>Bakery</c:v>
                </c:pt>
                <c:pt idx="1">
                  <c:v>Beverages</c:v>
                </c:pt>
                <c:pt idx="2">
                  <c:v>Cleaning Supplies</c:v>
                </c:pt>
                <c:pt idx="3">
                  <c:v>Dairy</c:v>
                </c:pt>
                <c:pt idx="4">
                  <c:v>Frozen Food</c:v>
                </c:pt>
                <c:pt idx="5">
                  <c:v>Personal Care</c:v>
                </c:pt>
                <c:pt idx="6">
                  <c:v>Snacks</c:v>
                </c:pt>
                <c:pt idx="7">
                  <c:v>Vegetables</c:v>
                </c:pt>
              </c:strCache>
            </c:strRef>
          </c:cat>
          <c:val>
            <c:numRef>
              <c:f>Pivot!$B$47:$B$55</c:f>
              <c:numCache>
                <c:formatCode>"₹"0.0,."M"</c:formatCode>
                <c:ptCount val="8"/>
                <c:pt idx="0">
                  <c:v>3101</c:v>
                </c:pt>
                <c:pt idx="1">
                  <c:v>4610.24</c:v>
                </c:pt>
                <c:pt idx="2">
                  <c:v>5610</c:v>
                </c:pt>
                <c:pt idx="3">
                  <c:v>3104</c:v>
                </c:pt>
                <c:pt idx="4">
                  <c:v>12871</c:v>
                </c:pt>
                <c:pt idx="5">
                  <c:v>10979.9</c:v>
                </c:pt>
                <c:pt idx="6">
                  <c:v>3220.5599999999995</c:v>
                </c:pt>
                <c:pt idx="7">
                  <c:v>1332.5</c:v>
                </c:pt>
              </c:numCache>
            </c:numRef>
          </c:val>
          <c:extLst>
            <c:ext xmlns:c16="http://schemas.microsoft.com/office/drawing/2014/chart" uri="{C3380CC4-5D6E-409C-BE32-E72D297353CC}">
              <c16:uniqueId val="{00000000-F851-4743-8689-025103D4203B}"/>
            </c:ext>
          </c:extLst>
        </c:ser>
        <c:ser>
          <c:idx val="1"/>
          <c:order val="1"/>
          <c:tx>
            <c:strRef>
              <c:f>Pivot!$C$46</c:f>
              <c:strCache>
                <c:ptCount val="1"/>
                <c:pt idx="0">
                  <c:v>Sum of Gross Total</c:v>
                </c:pt>
              </c:strCache>
            </c:strRef>
          </c:tx>
          <c:spPr>
            <a:solidFill>
              <a:schemeClr val="accent2"/>
            </a:solidFill>
            <a:ln>
              <a:noFill/>
            </a:ln>
            <a:effectLst/>
          </c:spPr>
          <c:invertIfNegative val="0"/>
          <c:cat>
            <c:strRef>
              <c:f>Pivot!$A$47:$A$55</c:f>
              <c:strCache>
                <c:ptCount val="8"/>
                <c:pt idx="0">
                  <c:v>Bakery</c:v>
                </c:pt>
                <c:pt idx="1">
                  <c:v>Beverages</c:v>
                </c:pt>
                <c:pt idx="2">
                  <c:v>Cleaning Supplies</c:v>
                </c:pt>
                <c:pt idx="3">
                  <c:v>Dairy</c:v>
                </c:pt>
                <c:pt idx="4">
                  <c:v>Frozen Food</c:v>
                </c:pt>
                <c:pt idx="5">
                  <c:v>Personal Care</c:v>
                </c:pt>
                <c:pt idx="6">
                  <c:v>Snacks</c:v>
                </c:pt>
                <c:pt idx="7">
                  <c:v>Vegetables</c:v>
                </c:pt>
              </c:strCache>
            </c:strRef>
          </c:cat>
          <c:val>
            <c:numRef>
              <c:f>Pivot!$C$47:$C$55</c:f>
              <c:numCache>
                <c:formatCode>"₹"0.0,."M"</c:formatCode>
                <c:ptCount val="8"/>
                <c:pt idx="0">
                  <c:v>7456</c:v>
                </c:pt>
                <c:pt idx="1">
                  <c:v>10646.23</c:v>
                </c:pt>
                <c:pt idx="2">
                  <c:v>15400</c:v>
                </c:pt>
                <c:pt idx="3">
                  <c:v>7237.5</c:v>
                </c:pt>
                <c:pt idx="4">
                  <c:v>31662.5</c:v>
                </c:pt>
                <c:pt idx="5">
                  <c:v>20079.7</c:v>
                </c:pt>
                <c:pt idx="6">
                  <c:v>9064.7000000000007</c:v>
                </c:pt>
                <c:pt idx="7">
                  <c:v>3876.5</c:v>
                </c:pt>
              </c:numCache>
            </c:numRef>
          </c:val>
          <c:extLst>
            <c:ext xmlns:c16="http://schemas.microsoft.com/office/drawing/2014/chart" uri="{C3380CC4-5D6E-409C-BE32-E72D297353CC}">
              <c16:uniqueId val="{00000001-F851-4743-8689-025103D4203B}"/>
            </c:ext>
          </c:extLst>
        </c:ser>
        <c:ser>
          <c:idx val="2"/>
          <c:order val="2"/>
          <c:tx>
            <c:strRef>
              <c:f>Pivot!$D$46</c:f>
              <c:strCache>
                <c:ptCount val="1"/>
                <c:pt idx="0">
                  <c:v>Sum of Final Price</c:v>
                </c:pt>
              </c:strCache>
            </c:strRef>
          </c:tx>
          <c:spPr>
            <a:solidFill>
              <a:schemeClr val="accent3"/>
            </a:solidFill>
            <a:ln>
              <a:noFill/>
            </a:ln>
            <a:effectLst/>
          </c:spPr>
          <c:invertIfNegative val="0"/>
          <c:cat>
            <c:strRef>
              <c:f>Pivot!$A$47:$A$55</c:f>
              <c:strCache>
                <c:ptCount val="8"/>
                <c:pt idx="0">
                  <c:v>Bakery</c:v>
                </c:pt>
                <c:pt idx="1">
                  <c:v>Beverages</c:v>
                </c:pt>
                <c:pt idx="2">
                  <c:v>Cleaning Supplies</c:v>
                </c:pt>
                <c:pt idx="3">
                  <c:v>Dairy</c:v>
                </c:pt>
                <c:pt idx="4">
                  <c:v>Frozen Food</c:v>
                </c:pt>
                <c:pt idx="5">
                  <c:v>Personal Care</c:v>
                </c:pt>
                <c:pt idx="6">
                  <c:v>Snacks</c:v>
                </c:pt>
                <c:pt idx="7">
                  <c:v>Vegetables</c:v>
                </c:pt>
              </c:strCache>
            </c:strRef>
          </c:cat>
          <c:val>
            <c:numRef>
              <c:f>Pivot!$D$47:$D$55</c:f>
              <c:numCache>
                <c:formatCode>"₹"0.0,."M"</c:formatCode>
                <c:ptCount val="8"/>
                <c:pt idx="0">
                  <c:v>7078.7300000000005</c:v>
                </c:pt>
                <c:pt idx="1">
                  <c:v>10106.86</c:v>
                </c:pt>
                <c:pt idx="2">
                  <c:v>14630</c:v>
                </c:pt>
                <c:pt idx="3">
                  <c:v>6890.97</c:v>
                </c:pt>
                <c:pt idx="4">
                  <c:v>30122.65</c:v>
                </c:pt>
                <c:pt idx="5">
                  <c:v>19075.71</c:v>
                </c:pt>
                <c:pt idx="6">
                  <c:v>8607.3700000000008</c:v>
                </c:pt>
                <c:pt idx="7">
                  <c:v>3682.65</c:v>
                </c:pt>
              </c:numCache>
            </c:numRef>
          </c:val>
          <c:extLst>
            <c:ext xmlns:c16="http://schemas.microsoft.com/office/drawing/2014/chart" uri="{C3380CC4-5D6E-409C-BE32-E72D297353CC}">
              <c16:uniqueId val="{00000002-F851-4743-8689-025103D4203B}"/>
            </c:ext>
          </c:extLst>
        </c:ser>
        <c:dLbls>
          <c:showLegendKey val="0"/>
          <c:showVal val="0"/>
          <c:showCatName val="0"/>
          <c:showSerName val="0"/>
          <c:showPercent val="0"/>
          <c:showBubbleSize val="0"/>
        </c:dLbls>
        <c:gapWidth val="219"/>
        <c:overlap val="-27"/>
        <c:axId val="700820623"/>
        <c:axId val="700821583"/>
      </c:barChart>
      <c:catAx>
        <c:axId val="700820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00821583"/>
        <c:crosses val="autoZero"/>
        <c:auto val="1"/>
        <c:lblAlgn val="ctr"/>
        <c:lblOffset val="100"/>
        <c:noMultiLvlLbl val="0"/>
      </c:catAx>
      <c:valAx>
        <c:axId val="700821583"/>
        <c:scaling>
          <c:orientation val="minMax"/>
        </c:scaling>
        <c:delete val="0"/>
        <c:axPos val="l"/>
        <c:numFmt formatCode="&quot;₹&quot;0.0,.&quot;M&quot;"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00820623"/>
        <c:crosses val="autoZero"/>
        <c:crossBetween val="between"/>
      </c:valAx>
      <c:spPr>
        <a:noFill/>
        <a:ln>
          <a:noFill/>
        </a:ln>
        <a:effectLst/>
      </c:spPr>
    </c:plotArea>
    <c:legend>
      <c:legendPos val="r"/>
      <c:layout>
        <c:manualLayout>
          <c:xMode val="edge"/>
          <c:yMode val="edge"/>
          <c:x val="0.71755475959027237"/>
          <c:y val="4.0427238261883949E-2"/>
          <c:w val="0.26300078911768099"/>
          <c:h val="0.3213723947251023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[supermarket.xlsx]Pivot!PivotTable7</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rgbClr val="FF0000"/>
                </a:solidFill>
              </a:rPr>
              <a:t>Payment</a:t>
            </a:r>
            <a:r>
              <a:rPr lang="en-US" i="1" baseline="0">
                <a:solidFill>
                  <a:srgbClr val="FF0000"/>
                </a:solidFill>
              </a:rPr>
              <a:t> type</a:t>
            </a:r>
            <a:endParaRPr lang="en-US" i="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8.3576837847935403E-2"/>
              <c:y val="-0.1565970820786051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264763964362875"/>
                  <c:h val="0.14310578427827431"/>
                </c:manualLayout>
              </c15:layout>
            </c:ext>
          </c:extLst>
        </c:dLbl>
      </c:pivotFmt>
      <c:pivotFmt>
        <c:idx val="9"/>
        <c:spPr>
          <a:solidFill>
            <a:schemeClr val="accent1"/>
          </a:solidFill>
          <a:ln w="19050">
            <a:solidFill>
              <a:schemeClr val="lt1"/>
            </a:solidFill>
          </a:ln>
          <a:effectLst/>
        </c:spPr>
        <c:dLbl>
          <c:idx val="0"/>
          <c:layout>
            <c:manualLayout>
              <c:x val="0.1506295008470438"/>
              <c:y val="-0.1206839725382695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627998505565585"/>
                  <c:h val="0.14291523063742442"/>
                </c:manualLayout>
              </c15:layout>
            </c:ext>
          </c:extLst>
        </c:dLbl>
      </c:pivotFmt>
      <c:pivotFmt>
        <c:idx val="10"/>
        <c:spPr>
          <a:solidFill>
            <a:schemeClr val="accent1"/>
          </a:solidFill>
          <a:ln w="19050">
            <a:solidFill>
              <a:schemeClr val="lt1"/>
            </a:solidFill>
          </a:ln>
          <a:effectLst/>
        </c:spPr>
      </c:pivotFmt>
    </c:pivotFmts>
    <c:plotArea>
      <c:layout/>
      <c:pieChart>
        <c:varyColors val="1"/>
        <c:ser>
          <c:idx val="0"/>
          <c:order val="0"/>
          <c:tx>
            <c:strRef>
              <c:f>Pivot!$B$66</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BB9F-4771-8D78-B50A85FC7B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9F-4771-8D78-B50A85FC7B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9F-4771-8D78-B50A85FC7B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9F-4771-8D78-B50A85FC7BCA}"/>
              </c:ext>
            </c:extLst>
          </c:dPt>
          <c:dLbls>
            <c:dLbl>
              <c:idx val="1"/>
              <c:layout>
                <c:manualLayout>
                  <c:x val="-8.3576837847935403E-2"/>
                  <c:y val="-0.1565970820786051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6264763964362875"/>
                      <c:h val="0.14310578427827431"/>
                    </c:manualLayout>
                  </c15:layout>
                </c:ext>
                <c:ext xmlns:c16="http://schemas.microsoft.com/office/drawing/2014/chart" uri="{C3380CC4-5D6E-409C-BE32-E72D297353CC}">
                  <c16:uniqueId val="{00000003-BB9F-4771-8D78-B50A85FC7BCA}"/>
                </c:ext>
              </c:extLst>
            </c:dLbl>
            <c:dLbl>
              <c:idx val="2"/>
              <c:layout>
                <c:manualLayout>
                  <c:x val="0.1506295008470438"/>
                  <c:y val="-0.1206839725382695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627998505565585"/>
                      <c:h val="0.14291523063742442"/>
                    </c:manualLayout>
                  </c15:layout>
                </c:ext>
                <c:ext xmlns:c16="http://schemas.microsoft.com/office/drawing/2014/chart" uri="{C3380CC4-5D6E-409C-BE32-E72D297353CC}">
                  <c16:uniqueId val="{00000005-BB9F-4771-8D78-B50A85FC7BCA}"/>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Pivot!$A$67:$A$71</c:f>
              <c:strCache>
                <c:ptCount val="4"/>
                <c:pt idx="0">
                  <c:v>Cash</c:v>
                </c:pt>
                <c:pt idx="1">
                  <c:v>Credit Card</c:v>
                </c:pt>
                <c:pt idx="2">
                  <c:v>Debit Card</c:v>
                </c:pt>
                <c:pt idx="3">
                  <c:v>UPI</c:v>
                </c:pt>
              </c:strCache>
            </c:strRef>
          </c:cat>
          <c:val>
            <c:numRef>
              <c:f>Pivot!$B$67:$B$71</c:f>
              <c:numCache>
                <c:formatCode>General</c:formatCode>
                <c:ptCount val="4"/>
                <c:pt idx="0">
                  <c:v>81</c:v>
                </c:pt>
                <c:pt idx="1">
                  <c:v>74</c:v>
                </c:pt>
                <c:pt idx="2">
                  <c:v>67</c:v>
                </c:pt>
                <c:pt idx="3">
                  <c:v>78</c:v>
                </c:pt>
              </c:numCache>
            </c:numRef>
          </c:val>
          <c:extLst>
            <c:ext xmlns:c16="http://schemas.microsoft.com/office/drawing/2014/chart" uri="{C3380CC4-5D6E-409C-BE32-E72D297353CC}">
              <c16:uniqueId val="{00000008-BB9F-4771-8D78-B50A85FC7BC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[supermarket.xlsx]Pivot!PivotTable8</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rgbClr val="FF0000"/>
                </a:solidFill>
              </a:rPr>
              <a:t>Top 5 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alpha val="98000"/>
            </a:srgbClr>
          </a:solidFill>
          <a:ln w="63500">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alpha val="98000"/>
            </a:srgbClr>
          </a:solidFill>
          <a:ln w="63500">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alpha val="98000"/>
            </a:srgbClr>
          </a:solidFill>
          <a:ln w="63500">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Pivot!$J$65</c:f>
              <c:strCache>
                <c:ptCount val="1"/>
                <c:pt idx="0">
                  <c:v>Total</c:v>
                </c:pt>
              </c:strCache>
            </c:strRef>
          </c:tx>
          <c:spPr>
            <a:solidFill>
              <a:srgbClr val="92D050">
                <a:alpha val="98000"/>
              </a:srgbClr>
            </a:solidFill>
            <a:ln w="63500">
              <a:solidFill>
                <a:srgbClr val="92D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Pivot!$I$66:$I$72</c:f>
              <c:strCache>
                <c:ptCount val="6"/>
                <c:pt idx="0">
                  <c:v>Chennai</c:v>
                </c:pt>
                <c:pt idx="1">
                  <c:v>Mumbai</c:v>
                </c:pt>
                <c:pt idx="2">
                  <c:v>Bangalore</c:v>
                </c:pt>
                <c:pt idx="3">
                  <c:v>Kolkata</c:v>
                </c:pt>
                <c:pt idx="4">
                  <c:v>Delhi</c:v>
                </c:pt>
                <c:pt idx="5">
                  <c:v>Hyderabad</c:v>
                </c:pt>
              </c:strCache>
            </c:strRef>
          </c:cat>
          <c:val>
            <c:numRef>
              <c:f>Pivot!$J$66:$J$72</c:f>
              <c:numCache>
                <c:formatCode>"₹"0.0,."M"</c:formatCode>
                <c:ptCount val="6"/>
                <c:pt idx="0">
                  <c:v>13674.730000000001</c:v>
                </c:pt>
                <c:pt idx="1">
                  <c:v>14637.7</c:v>
                </c:pt>
                <c:pt idx="2">
                  <c:v>16297.579999999996</c:v>
                </c:pt>
                <c:pt idx="3">
                  <c:v>17125.860000000004</c:v>
                </c:pt>
                <c:pt idx="4">
                  <c:v>18476.27</c:v>
                </c:pt>
                <c:pt idx="5">
                  <c:v>19982.8</c:v>
                </c:pt>
              </c:numCache>
            </c:numRef>
          </c:val>
          <c:extLst>
            <c:ext xmlns:c16="http://schemas.microsoft.com/office/drawing/2014/chart" uri="{C3380CC4-5D6E-409C-BE32-E72D297353CC}">
              <c16:uniqueId val="{00000000-BDDF-4644-9AEB-90C1BF58735B}"/>
            </c:ext>
          </c:extLst>
        </c:ser>
        <c:dLbls>
          <c:dLblPos val="outEnd"/>
          <c:showLegendKey val="0"/>
          <c:showVal val="1"/>
          <c:showCatName val="0"/>
          <c:showSerName val="0"/>
          <c:showPercent val="0"/>
          <c:showBubbleSize val="0"/>
        </c:dLbls>
        <c:gapWidth val="155"/>
        <c:axId val="620747231"/>
        <c:axId val="620746271"/>
      </c:barChart>
      <c:catAx>
        <c:axId val="6207472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620746271"/>
        <c:crosses val="autoZero"/>
        <c:auto val="1"/>
        <c:lblAlgn val="ctr"/>
        <c:lblOffset val="100"/>
        <c:noMultiLvlLbl val="0"/>
      </c:catAx>
      <c:valAx>
        <c:axId val="620746271"/>
        <c:scaling>
          <c:orientation val="minMax"/>
        </c:scaling>
        <c:delete val="1"/>
        <c:axPos val="b"/>
        <c:numFmt formatCode="&quot;₹&quot;0.0,.&quot;M&quot;" sourceLinked="1"/>
        <c:majorTickMark val="out"/>
        <c:minorTickMark val="none"/>
        <c:tickLblPos val="nextTo"/>
        <c:crossAx val="62074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[supermarket.xlsx]Pivot!PivotTable9</c:name>
    <c:fmtId val="1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rgbClr val="FF0000"/>
                </a:solidFill>
              </a:rPr>
              <a:t>Category Discount </a:t>
            </a:r>
          </a:p>
        </c:rich>
      </c:tx>
      <c:layout>
        <c:manualLayout>
          <c:xMode val="edge"/>
          <c:yMode val="edge"/>
          <c:x val="0.2395898432043196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2">
              <a:lumMod val="40000"/>
              <a:lumOff val="60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2">
              <a:lumMod val="40000"/>
              <a:lumOff val="60000"/>
            </a:schemeClr>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Pivot!$B$85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F69-4F86-AE1C-479E496DBD1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F69-4F86-AE1C-479E496DBD1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F69-4F86-AE1C-479E496DBD1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F69-4F86-AE1C-479E496DBD1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F69-4F86-AE1C-479E496DBD1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F69-4F86-AE1C-479E496DBD10}"/>
              </c:ext>
            </c:extLst>
          </c:dPt>
          <c:dPt>
            <c:idx val="6"/>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FF69-4F86-AE1C-479E496DBD1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FF69-4F86-AE1C-479E496DBD10}"/>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Pivot!$A$86:$A$94</c:f>
              <c:strCache>
                <c:ptCount val="8"/>
                <c:pt idx="0">
                  <c:v>Bakery</c:v>
                </c:pt>
                <c:pt idx="1">
                  <c:v>Beverages</c:v>
                </c:pt>
                <c:pt idx="2">
                  <c:v>Cleaning Supplies</c:v>
                </c:pt>
                <c:pt idx="3">
                  <c:v>Dairy</c:v>
                </c:pt>
                <c:pt idx="4">
                  <c:v>Frozen Food</c:v>
                </c:pt>
                <c:pt idx="5">
                  <c:v>Personal Care</c:v>
                </c:pt>
                <c:pt idx="6">
                  <c:v>Snacks</c:v>
                </c:pt>
                <c:pt idx="7">
                  <c:v>Vegetables</c:v>
                </c:pt>
              </c:strCache>
            </c:strRef>
          </c:cat>
          <c:val>
            <c:numRef>
              <c:f>Pivot!$B$86:$B$94</c:f>
              <c:numCache>
                <c:formatCode>General</c:formatCode>
                <c:ptCount val="8"/>
                <c:pt idx="0">
                  <c:v>377.27000000000004</c:v>
                </c:pt>
                <c:pt idx="1">
                  <c:v>539.37000000000012</c:v>
                </c:pt>
                <c:pt idx="2">
                  <c:v>770</c:v>
                </c:pt>
                <c:pt idx="3">
                  <c:v>346.53</c:v>
                </c:pt>
                <c:pt idx="4">
                  <c:v>1539.85</c:v>
                </c:pt>
                <c:pt idx="5">
                  <c:v>1003.99</c:v>
                </c:pt>
                <c:pt idx="6">
                  <c:v>457.32999999999987</c:v>
                </c:pt>
                <c:pt idx="7">
                  <c:v>193.85999999999999</c:v>
                </c:pt>
              </c:numCache>
            </c:numRef>
          </c:val>
          <c:extLst>
            <c:ext xmlns:c16="http://schemas.microsoft.com/office/drawing/2014/chart" uri="{C3380CC4-5D6E-409C-BE32-E72D297353CC}">
              <c16:uniqueId val="{00000010-FF69-4F86-AE1C-479E496DBD10}"/>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8.xml"/><Relationship Id="rId3" Type="http://schemas.openxmlformats.org/officeDocument/2006/relationships/hyperlink" Target="https://svgsilh.com/image/1831088.html" TargetMode="External"/><Relationship Id="rId7" Type="http://schemas.openxmlformats.org/officeDocument/2006/relationships/hyperlink" Target="https://pixabay.com/nl/bankbiljetten-bankroll-bill-geld-159085/" TargetMode="External"/><Relationship Id="rId12" Type="http://schemas.openxmlformats.org/officeDocument/2006/relationships/chart" Target="../charts/chart7.xml"/><Relationship Id="rId17" Type="http://schemas.openxmlformats.org/officeDocument/2006/relationships/chart" Target="../charts/chart12.xml"/><Relationship Id="rId2" Type="http://schemas.openxmlformats.org/officeDocument/2006/relationships/image" Target="../media/image2.svg"/><Relationship Id="rId16"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https://pixabay.com/ko/%EA%B7%B8%EB%9E%98%ED%94%84-%EC%B0%A8%ED%8A%B8-%ED%8C%90%EB%A7%A4-%EC%A6%9D%EA%B0%80-%EC%82%AC%EC%97%85-%EB%8B%A4%EC%9D%B4%EC%96%B4%EA%B7%B8%EB%9E%A8-%EB%B3%B4%EA%B3%A0%EC%84%9C-%EB%8D%B0%EC%9D%B4%ED%84%B0-841606/" TargetMode="External"/><Relationship Id="rId5" Type="http://schemas.openxmlformats.org/officeDocument/2006/relationships/hyperlink" Target="https://www.goodfreephotos.com/vector-images/made-in-the-usa-flag-stars-and-stripes-vector-clipart.png.php" TargetMode="External"/><Relationship Id="rId15" Type="http://schemas.openxmlformats.org/officeDocument/2006/relationships/chart" Target="../charts/chart10.xml"/><Relationship Id="rId10" Type="http://schemas.openxmlformats.org/officeDocument/2006/relationships/image" Target="../media/image6.png"/><Relationship Id="rId4" Type="http://schemas.openxmlformats.org/officeDocument/2006/relationships/image" Target="../media/image3.png"/><Relationship Id="rId9" Type="http://schemas.openxmlformats.org/officeDocument/2006/relationships/hyperlink" Target="https://game-icons.net/1x1/delapouite/receive-money.html" TargetMode="External"/><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152400</xdr:colOff>
      <xdr:row>12</xdr:row>
      <xdr:rowOff>129540</xdr:rowOff>
    </xdr:from>
    <xdr:to>
      <xdr:col>5</xdr:col>
      <xdr:colOff>381000</xdr:colOff>
      <xdr:row>24</xdr:row>
      <xdr:rowOff>53340</xdr:rowOff>
    </xdr:to>
    <xdr:graphicFrame macro="">
      <xdr:nvGraphicFramePr>
        <xdr:cNvPr id="6" name="Chart 5">
          <a:extLst>
            <a:ext uri="{FF2B5EF4-FFF2-40B4-BE49-F238E27FC236}">
              <a16:creationId xmlns:a16="http://schemas.microsoft.com/office/drawing/2014/main" id="{492E1B58-DF28-45D7-9FB9-BF7C9D1AF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152400</xdr:colOff>
      <xdr:row>28</xdr:row>
      <xdr:rowOff>129540</xdr:rowOff>
    </xdr:from>
    <xdr:to>
      <xdr:col>4</xdr:col>
      <xdr:colOff>264446</xdr:colOff>
      <xdr:row>38</xdr:row>
      <xdr:rowOff>129077</xdr:rowOff>
    </xdr:to>
    <xdr:graphicFrame macro="">
      <xdr:nvGraphicFramePr>
        <xdr:cNvPr id="8" name="Chart 7">
          <a:extLst>
            <a:ext uri="{FF2B5EF4-FFF2-40B4-BE49-F238E27FC236}">
              <a16:creationId xmlns:a16="http://schemas.microsoft.com/office/drawing/2014/main" id="{4A130AF4-710E-4BC7-BA3B-DDB2DD258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44</xdr:row>
      <xdr:rowOff>129540</xdr:rowOff>
    </xdr:from>
    <xdr:to>
      <xdr:col>9</xdr:col>
      <xdr:colOff>305733</xdr:colOff>
      <xdr:row>57</xdr:row>
      <xdr:rowOff>57362</xdr:rowOff>
    </xdr:to>
    <xdr:graphicFrame macro="">
      <xdr:nvGraphicFramePr>
        <xdr:cNvPr id="10" name="Chart 9">
          <a:extLst>
            <a:ext uri="{FF2B5EF4-FFF2-40B4-BE49-F238E27FC236}">
              <a16:creationId xmlns:a16="http://schemas.microsoft.com/office/drawing/2014/main" id="{BFA11B09-7BD4-40D4-8C7B-0D897AB8E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89244</xdr:colOff>
      <xdr:row>63</xdr:row>
      <xdr:rowOff>151027</xdr:rowOff>
    </xdr:from>
    <xdr:to>
      <xdr:col>14</xdr:col>
      <xdr:colOff>576649</xdr:colOff>
      <xdr:row>72</xdr:row>
      <xdr:rowOff>116702</xdr:rowOff>
    </xdr:to>
    <xdr:graphicFrame macro="">
      <xdr:nvGraphicFramePr>
        <xdr:cNvPr id="14" name="Chart 13">
          <a:extLst>
            <a:ext uri="{FF2B5EF4-FFF2-40B4-BE49-F238E27FC236}">
              <a16:creationId xmlns:a16="http://schemas.microsoft.com/office/drawing/2014/main" id="{779E5D0B-44A3-4080-8A38-34FA5CC18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274320</xdr:colOff>
      <xdr:row>65</xdr:row>
      <xdr:rowOff>137160</xdr:rowOff>
    </xdr:from>
    <xdr:to>
      <xdr:col>4</xdr:col>
      <xdr:colOff>486853</xdr:colOff>
      <xdr:row>76</xdr:row>
      <xdr:rowOff>158526</xdr:rowOff>
    </xdr:to>
    <xdr:graphicFrame macro="">
      <xdr:nvGraphicFramePr>
        <xdr:cNvPr id="15" name="Chart 14">
          <a:extLst>
            <a:ext uri="{FF2B5EF4-FFF2-40B4-BE49-F238E27FC236}">
              <a16:creationId xmlns:a16="http://schemas.microsoft.com/office/drawing/2014/main" id="{E489BE3F-1EE8-4EAF-9457-7C3E1A3D1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30480</xdr:colOff>
      <xdr:row>7</xdr:row>
      <xdr:rowOff>22860</xdr:rowOff>
    </xdr:from>
    <xdr:to>
      <xdr:col>11</xdr:col>
      <xdr:colOff>149377</xdr:colOff>
      <xdr:row>20</xdr:row>
      <xdr:rowOff>66675</xdr:rowOff>
    </xdr:to>
    <mc:AlternateContent xmlns:mc="http://schemas.openxmlformats.org/markup-compatibility/2006">
      <mc:Choice xmlns:a14="http://schemas.microsoft.com/office/drawing/2010/main" Requires="a14">
        <xdr:graphicFrame macro="">
          <xdr:nvGraphicFramePr>
            <xdr:cNvPr id="16" name="Months (Date)">
              <a:extLst>
                <a:ext uri="{FF2B5EF4-FFF2-40B4-BE49-F238E27FC236}">
                  <a16:creationId xmlns:a16="http://schemas.microsoft.com/office/drawing/2014/main" id="{200FC4ED-2A05-A699-CA77-16187E89F9D9}"/>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8013337" y="1338217"/>
              <a:ext cx="1824326" cy="2429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568114</xdr:colOff>
      <xdr:row>28</xdr:row>
      <xdr:rowOff>12277</xdr:rowOff>
    </xdr:from>
    <xdr:to>
      <xdr:col>10</xdr:col>
      <xdr:colOff>413296</xdr:colOff>
      <xdr:row>41</xdr:row>
      <xdr:rowOff>87418</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EDE17310-9547-178B-E9BF-E212F9E454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80114" y="5192063"/>
              <a:ext cx="1813682" cy="2479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409364</xdr:colOff>
      <xdr:row>27</xdr:row>
      <xdr:rowOff>65194</xdr:rowOff>
    </xdr:from>
    <xdr:to>
      <xdr:col>8</xdr:col>
      <xdr:colOff>79164</xdr:colOff>
      <xdr:row>40</xdr:row>
      <xdr:rowOff>140336</xdr:rowOff>
    </xdr:to>
    <mc:AlternateContent xmlns:mc="http://schemas.openxmlformats.org/markup-compatibility/2006">
      <mc:Choice xmlns:a14="http://schemas.microsoft.com/office/drawing/2010/main" Requires="a14">
        <xdr:graphicFrame macro="">
          <xdr:nvGraphicFramePr>
            <xdr:cNvPr id="18" name="Payment Method">
              <a:extLst>
                <a:ext uri="{FF2B5EF4-FFF2-40B4-BE49-F238E27FC236}">
                  <a16:creationId xmlns:a16="http://schemas.microsoft.com/office/drawing/2014/main" id="{D3420716-2B1F-FBB2-8C10-6782F43E6B6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5353293" y="5063551"/>
              <a:ext cx="1837871" cy="2479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244928</xdr:colOff>
      <xdr:row>83</xdr:row>
      <xdr:rowOff>7257</xdr:rowOff>
    </xdr:from>
    <xdr:to>
      <xdr:col>8</xdr:col>
      <xdr:colOff>390071</xdr:colOff>
      <xdr:row>97</xdr:row>
      <xdr:rowOff>174172</xdr:rowOff>
    </xdr:to>
    <xdr:graphicFrame macro="">
      <xdr:nvGraphicFramePr>
        <xdr:cNvPr id="20" name="Chart 19">
          <a:extLst>
            <a:ext uri="{FF2B5EF4-FFF2-40B4-BE49-F238E27FC236}">
              <a16:creationId xmlns:a16="http://schemas.microsoft.com/office/drawing/2014/main" id="{00B46E9B-9D56-EF97-7E37-24E698820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377952</xdr:colOff>
      <xdr:row>1</xdr:row>
      <xdr:rowOff>21772</xdr:rowOff>
    </xdr:from>
    <xdr:to>
      <xdr:col>20</xdr:col>
      <xdr:colOff>468086</xdr:colOff>
      <xdr:row>34</xdr:row>
      <xdr:rowOff>54428</xdr:rowOff>
    </xdr:to>
    <xdr:sp macro="" textlink="">
      <xdr:nvSpPr>
        <xdr:cNvPr id="2" name="TextBox 1">
          <a:extLst>
            <a:ext uri="{FF2B5EF4-FFF2-40B4-BE49-F238E27FC236}">
              <a16:creationId xmlns:a16="http://schemas.microsoft.com/office/drawing/2014/main" id="{169A53F1-BA42-9D8F-B0DE-4790545B68BE}"/>
            </a:ext>
          </a:extLst>
        </xdr:cNvPr>
        <xdr:cNvSpPr txBox="1"/>
      </xdr:nvSpPr>
      <xdr:spPr>
        <a:xfrm>
          <a:off x="987552" y="206829"/>
          <a:ext cx="11672534" cy="6139542"/>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accent2">
                <a:lumMod val="20000"/>
                <a:lumOff val="80000"/>
              </a:schemeClr>
            </a:solidFill>
          </a:endParaRPr>
        </a:p>
      </xdr:txBody>
    </xdr:sp>
    <xdr:clientData/>
  </xdr:twoCellAnchor>
  <xdr:twoCellAnchor>
    <xdr:from>
      <xdr:col>1</xdr:col>
      <xdr:colOff>522732</xdr:colOff>
      <xdr:row>2</xdr:row>
      <xdr:rowOff>32657</xdr:rowOff>
    </xdr:from>
    <xdr:to>
      <xdr:col>5</xdr:col>
      <xdr:colOff>202692</xdr:colOff>
      <xdr:row>33</xdr:row>
      <xdr:rowOff>121920</xdr:rowOff>
    </xdr:to>
    <xdr:sp macro="" textlink="">
      <xdr:nvSpPr>
        <xdr:cNvPr id="3" name="Rectangle 2">
          <a:extLst>
            <a:ext uri="{FF2B5EF4-FFF2-40B4-BE49-F238E27FC236}">
              <a16:creationId xmlns:a16="http://schemas.microsoft.com/office/drawing/2014/main" id="{BCC59E8E-6657-FB72-E105-9C07475AF7C3}"/>
            </a:ext>
          </a:extLst>
        </xdr:cNvPr>
        <xdr:cNvSpPr/>
      </xdr:nvSpPr>
      <xdr:spPr>
        <a:xfrm>
          <a:off x="1132332" y="402771"/>
          <a:ext cx="2118360" cy="58260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334733</xdr:colOff>
      <xdr:row>2</xdr:row>
      <xdr:rowOff>31083</xdr:rowOff>
    </xdr:from>
    <xdr:to>
      <xdr:col>8</xdr:col>
      <xdr:colOff>206764</xdr:colOff>
      <xdr:row>7</xdr:row>
      <xdr:rowOff>16683</xdr:rowOff>
    </xdr:to>
    <xdr:sp macro="" textlink="">
      <xdr:nvSpPr>
        <xdr:cNvPr id="4" name="TextBox 3">
          <a:extLst>
            <a:ext uri="{FF2B5EF4-FFF2-40B4-BE49-F238E27FC236}">
              <a16:creationId xmlns:a16="http://schemas.microsoft.com/office/drawing/2014/main" id="{EE6D7B85-EE03-60A1-1F47-C16C5A9C7A91}"/>
            </a:ext>
          </a:extLst>
        </xdr:cNvPr>
        <xdr:cNvSpPr txBox="1"/>
      </xdr:nvSpPr>
      <xdr:spPr>
        <a:xfrm>
          <a:off x="3390278" y="393222"/>
          <a:ext cx="1705357" cy="890946"/>
        </a:xfrm>
        <a:prstGeom prst="rect">
          <a:avLst/>
        </a:prstGeom>
        <a:solidFill>
          <a:schemeClr val="accent2">
            <a:lumMod val="40000"/>
            <a:lumOff val="60000"/>
          </a:schemeClr>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6</xdr:col>
      <xdr:colOff>91063</xdr:colOff>
      <xdr:row>2</xdr:row>
      <xdr:rowOff>155615</xdr:rowOff>
    </xdr:from>
    <xdr:to>
      <xdr:col>7</xdr:col>
      <xdr:colOff>487303</xdr:colOff>
      <xdr:row>4</xdr:row>
      <xdr:rowOff>65986</xdr:rowOff>
    </xdr:to>
    <xdr:sp macro="" textlink="">
      <xdr:nvSpPr>
        <xdr:cNvPr id="5" name="TextBox 4">
          <a:extLst>
            <a:ext uri="{FF2B5EF4-FFF2-40B4-BE49-F238E27FC236}">
              <a16:creationId xmlns:a16="http://schemas.microsoft.com/office/drawing/2014/main" id="{20C35FAA-57DD-E434-F92D-659F8024D292}"/>
            </a:ext>
          </a:extLst>
        </xdr:cNvPr>
        <xdr:cNvSpPr txBox="1"/>
      </xdr:nvSpPr>
      <xdr:spPr>
        <a:xfrm>
          <a:off x="3757716" y="517754"/>
          <a:ext cx="1007349" cy="272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sales</a:t>
          </a:r>
        </a:p>
      </xdr:txBody>
    </xdr:sp>
    <xdr:clientData/>
  </xdr:twoCellAnchor>
  <xdr:twoCellAnchor>
    <xdr:from>
      <xdr:col>6</xdr:col>
      <xdr:colOff>45638</xdr:colOff>
      <xdr:row>4</xdr:row>
      <xdr:rowOff>39359</xdr:rowOff>
    </xdr:from>
    <xdr:to>
      <xdr:col>8</xdr:col>
      <xdr:colOff>35807</xdr:colOff>
      <xdr:row>6</xdr:row>
      <xdr:rowOff>44419</xdr:rowOff>
    </xdr:to>
    <xdr:sp macro="" textlink="Pivot!A6">
      <xdr:nvSpPr>
        <xdr:cNvPr id="6" name="TextBox 5">
          <a:extLst>
            <a:ext uri="{FF2B5EF4-FFF2-40B4-BE49-F238E27FC236}">
              <a16:creationId xmlns:a16="http://schemas.microsoft.com/office/drawing/2014/main" id="{E8E66040-A468-A168-ADFA-EF9BC1C417B6}"/>
            </a:ext>
          </a:extLst>
        </xdr:cNvPr>
        <xdr:cNvSpPr txBox="1"/>
      </xdr:nvSpPr>
      <xdr:spPr>
        <a:xfrm>
          <a:off x="3712291" y="763636"/>
          <a:ext cx="1212387" cy="36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2E5E0B-8112-432D-9EC7-DAF788C8EB1A}" type="TxLink">
            <a:rPr lang="en-US" sz="1600" b="1" i="0" u="none" strike="noStrike">
              <a:solidFill>
                <a:srgbClr val="000000"/>
              </a:solidFill>
              <a:latin typeface="Calibri"/>
              <a:ea typeface="Calibri"/>
              <a:cs typeface="Calibri"/>
            </a:rPr>
            <a:pPr/>
            <a:t>₹ 100.2.M</a:t>
          </a:fld>
          <a:endParaRPr lang="en-IN" sz="1600" b="1"/>
        </a:p>
      </xdr:txBody>
    </xdr:sp>
    <xdr:clientData/>
  </xdr:twoCellAnchor>
  <xdr:twoCellAnchor>
    <xdr:from>
      <xdr:col>8</xdr:col>
      <xdr:colOff>394041</xdr:colOff>
      <xdr:row>2</xdr:row>
      <xdr:rowOff>40075</xdr:rowOff>
    </xdr:from>
    <xdr:to>
      <xdr:col>11</xdr:col>
      <xdr:colOff>264387</xdr:colOff>
      <xdr:row>7</xdr:row>
      <xdr:rowOff>25674</xdr:rowOff>
    </xdr:to>
    <xdr:sp macro="" textlink="">
      <xdr:nvSpPr>
        <xdr:cNvPr id="7" name="TextBox 6">
          <a:extLst>
            <a:ext uri="{FF2B5EF4-FFF2-40B4-BE49-F238E27FC236}">
              <a16:creationId xmlns:a16="http://schemas.microsoft.com/office/drawing/2014/main" id="{EEB79534-3374-B15B-924E-B03DD2B26AB4}"/>
            </a:ext>
          </a:extLst>
        </xdr:cNvPr>
        <xdr:cNvSpPr txBox="1"/>
      </xdr:nvSpPr>
      <xdr:spPr>
        <a:xfrm>
          <a:off x="5282912" y="402214"/>
          <a:ext cx="1703673" cy="890945"/>
        </a:xfrm>
        <a:prstGeom prst="rect">
          <a:avLst/>
        </a:prstGeom>
        <a:solidFill>
          <a:schemeClr val="accent2">
            <a:lumMod val="40000"/>
            <a:lumOff val="60000"/>
          </a:schemeClr>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454665</xdr:colOff>
      <xdr:row>2</xdr:row>
      <xdr:rowOff>58296</xdr:rowOff>
    </xdr:from>
    <xdr:to>
      <xdr:col>14</xdr:col>
      <xdr:colOff>326697</xdr:colOff>
      <xdr:row>7</xdr:row>
      <xdr:rowOff>43896</xdr:rowOff>
    </xdr:to>
    <xdr:sp macro="" textlink="">
      <xdr:nvSpPr>
        <xdr:cNvPr id="8" name="TextBox 7">
          <a:extLst>
            <a:ext uri="{FF2B5EF4-FFF2-40B4-BE49-F238E27FC236}">
              <a16:creationId xmlns:a16="http://schemas.microsoft.com/office/drawing/2014/main" id="{17A16D8E-6048-2214-78B2-7C01F0CE2886}"/>
            </a:ext>
          </a:extLst>
        </xdr:cNvPr>
        <xdr:cNvSpPr txBox="1"/>
      </xdr:nvSpPr>
      <xdr:spPr>
        <a:xfrm>
          <a:off x="7176863" y="420435"/>
          <a:ext cx="1705359" cy="890946"/>
        </a:xfrm>
        <a:prstGeom prst="rect">
          <a:avLst/>
        </a:prstGeom>
        <a:solidFill>
          <a:schemeClr val="accent2">
            <a:lumMod val="40000"/>
            <a:lumOff val="60000"/>
          </a:schemeClr>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498041</xdr:colOff>
      <xdr:row>2</xdr:row>
      <xdr:rowOff>67614</xdr:rowOff>
    </xdr:from>
    <xdr:to>
      <xdr:col>17</xdr:col>
      <xdr:colOff>368388</xdr:colOff>
      <xdr:row>7</xdr:row>
      <xdr:rowOff>48376</xdr:rowOff>
    </xdr:to>
    <xdr:sp macro="" textlink="">
      <xdr:nvSpPr>
        <xdr:cNvPr id="9" name="TextBox 8">
          <a:extLst>
            <a:ext uri="{FF2B5EF4-FFF2-40B4-BE49-F238E27FC236}">
              <a16:creationId xmlns:a16="http://schemas.microsoft.com/office/drawing/2014/main" id="{C6FDEBE3-F1B8-5070-3C6C-9C5275E05105}"/>
            </a:ext>
          </a:extLst>
        </xdr:cNvPr>
        <xdr:cNvSpPr txBox="1"/>
      </xdr:nvSpPr>
      <xdr:spPr>
        <a:xfrm>
          <a:off x="9053566" y="429753"/>
          <a:ext cx="1703673" cy="886108"/>
        </a:xfrm>
        <a:prstGeom prst="rect">
          <a:avLst/>
        </a:prstGeom>
        <a:solidFill>
          <a:schemeClr val="accent2">
            <a:lumMod val="40000"/>
            <a:lumOff val="60000"/>
          </a:schemeClr>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9</xdr:col>
      <xdr:colOff>55410</xdr:colOff>
      <xdr:row>2</xdr:row>
      <xdr:rowOff>171437</xdr:rowOff>
    </xdr:from>
    <xdr:to>
      <xdr:col>11</xdr:col>
      <xdr:colOff>13463</xdr:colOff>
      <xdr:row>4</xdr:row>
      <xdr:rowOff>81808</xdr:rowOff>
    </xdr:to>
    <xdr:sp macro="" textlink="">
      <xdr:nvSpPr>
        <xdr:cNvPr id="10" name="TextBox 9">
          <a:extLst>
            <a:ext uri="{FF2B5EF4-FFF2-40B4-BE49-F238E27FC236}">
              <a16:creationId xmlns:a16="http://schemas.microsoft.com/office/drawing/2014/main" id="{BB6B0C9F-0187-6F1F-3BBA-409B0D74F575}"/>
            </a:ext>
          </a:extLst>
        </xdr:cNvPr>
        <xdr:cNvSpPr txBox="1"/>
      </xdr:nvSpPr>
      <xdr:spPr>
        <a:xfrm>
          <a:off x="5555390" y="533576"/>
          <a:ext cx="1180271" cy="272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Quantity</a:t>
          </a:r>
        </a:p>
      </xdr:txBody>
    </xdr:sp>
    <xdr:clientData/>
  </xdr:twoCellAnchor>
  <xdr:twoCellAnchor>
    <xdr:from>
      <xdr:col>12</xdr:col>
      <xdr:colOff>58688</xdr:colOff>
      <xdr:row>3</xdr:row>
      <xdr:rowOff>24210</xdr:rowOff>
    </xdr:from>
    <xdr:to>
      <xdr:col>14</xdr:col>
      <xdr:colOff>49501</xdr:colOff>
      <xdr:row>4</xdr:row>
      <xdr:rowOff>113861</xdr:rowOff>
    </xdr:to>
    <xdr:sp macro="" textlink="">
      <xdr:nvSpPr>
        <xdr:cNvPr id="11" name="TextBox 10">
          <a:extLst>
            <a:ext uri="{FF2B5EF4-FFF2-40B4-BE49-F238E27FC236}">
              <a16:creationId xmlns:a16="http://schemas.microsoft.com/office/drawing/2014/main" id="{54393954-CA44-8C52-D478-4B89871F753C}"/>
            </a:ext>
          </a:extLst>
        </xdr:cNvPr>
        <xdr:cNvSpPr txBox="1"/>
      </xdr:nvSpPr>
      <xdr:spPr>
        <a:xfrm>
          <a:off x="7391995" y="567418"/>
          <a:ext cx="1213031" cy="270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No. of invoices</a:t>
          </a:r>
        </a:p>
      </xdr:txBody>
    </xdr:sp>
    <xdr:clientData/>
  </xdr:twoCellAnchor>
  <xdr:twoCellAnchor>
    <xdr:from>
      <xdr:col>14</xdr:col>
      <xdr:colOff>604258</xdr:colOff>
      <xdr:row>3</xdr:row>
      <xdr:rowOff>42187</xdr:rowOff>
    </xdr:from>
    <xdr:to>
      <xdr:col>16</xdr:col>
      <xdr:colOff>606608</xdr:colOff>
      <xdr:row>4</xdr:row>
      <xdr:rowOff>133627</xdr:rowOff>
    </xdr:to>
    <xdr:sp macro="" textlink="">
      <xdr:nvSpPr>
        <xdr:cNvPr id="12" name="TextBox 11">
          <a:extLst>
            <a:ext uri="{FF2B5EF4-FFF2-40B4-BE49-F238E27FC236}">
              <a16:creationId xmlns:a16="http://schemas.microsoft.com/office/drawing/2014/main" id="{04EBC9EF-ABCB-A41C-43A1-2D491F62DAEA}"/>
            </a:ext>
          </a:extLst>
        </xdr:cNvPr>
        <xdr:cNvSpPr txBox="1"/>
      </xdr:nvSpPr>
      <xdr:spPr>
        <a:xfrm>
          <a:off x="9159783" y="585395"/>
          <a:ext cx="1224568" cy="272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 bills values</a:t>
          </a:r>
        </a:p>
      </xdr:txBody>
    </xdr:sp>
    <xdr:clientData/>
  </xdr:twoCellAnchor>
  <xdr:twoCellAnchor>
    <xdr:from>
      <xdr:col>9</xdr:col>
      <xdr:colOff>163317</xdr:colOff>
      <xdr:row>4</xdr:row>
      <xdr:rowOff>83990</xdr:rowOff>
    </xdr:from>
    <xdr:to>
      <xdr:col>10</xdr:col>
      <xdr:colOff>463901</xdr:colOff>
      <xdr:row>6</xdr:row>
      <xdr:rowOff>89050</xdr:rowOff>
    </xdr:to>
    <xdr:sp macro="" textlink="Pivot!C6">
      <xdr:nvSpPr>
        <xdr:cNvPr id="13" name="TextBox 12">
          <a:extLst>
            <a:ext uri="{FF2B5EF4-FFF2-40B4-BE49-F238E27FC236}">
              <a16:creationId xmlns:a16="http://schemas.microsoft.com/office/drawing/2014/main" id="{668070CA-72E3-115B-9AAE-DCE0F409D04C}"/>
            </a:ext>
          </a:extLst>
        </xdr:cNvPr>
        <xdr:cNvSpPr txBox="1"/>
      </xdr:nvSpPr>
      <xdr:spPr>
        <a:xfrm>
          <a:off x="5663297" y="808267"/>
          <a:ext cx="911693" cy="36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443429B-11EE-4F3E-B14A-DBCB50E2B51F}" type="TxLink">
            <a:rPr lang="en-US" sz="1600" b="1" i="0" u="none" strike="noStrike">
              <a:solidFill>
                <a:srgbClr val="000000"/>
              </a:solidFill>
              <a:latin typeface="Calibri"/>
              <a:ea typeface="Calibri"/>
              <a:cs typeface="Calibri"/>
            </a:rPr>
            <a:pPr marL="0" indent="0" algn="ctr"/>
            <a:t>791</a:t>
          </a:fld>
          <a:endParaRPr lang="en-IN" sz="1600" b="1" i="0" u="none" strike="noStrike">
            <a:solidFill>
              <a:srgbClr val="000000"/>
            </a:solidFill>
            <a:latin typeface="Calibri"/>
            <a:ea typeface="Calibri"/>
            <a:cs typeface="Calibri"/>
          </a:endParaRPr>
        </a:p>
      </xdr:txBody>
    </xdr:sp>
    <xdr:clientData/>
  </xdr:twoCellAnchor>
  <xdr:twoCellAnchor>
    <xdr:from>
      <xdr:col>12</xdr:col>
      <xdr:colOff>252642</xdr:colOff>
      <xdr:row>4</xdr:row>
      <xdr:rowOff>77400</xdr:rowOff>
    </xdr:from>
    <xdr:to>
      <xdr:col>13</xdr:col>
      <xdr:colOff>543773</xdr:colOff>
      <xdr:row>6</xdr:row>
      <xdr:rowOff>82460</xdr:rowOff>
    </xdr:to>
    <xdr:sp macro="" textlink="Pivot!B6">
      <xdr:nvSpPr>
        <xdr:cNvPr id="14" name="TextBox 13">
          <a:extLst>
            <a:ext uri="{FF2B5EF4-FFF2-40B4-BE49-F238E27FC236}">
              <a16:creationId xmlns:a16="http://schemas.microsoft.com/office/drawing/2014/main" id="{7B752354-65B4-8CEE-869D-46E7FA84CC41}"/>
            </a:ext>
          </a:extLst>
        </xdr:cNvPr>
        <xdr:cNvSpPr txBox="1"/>
      </xdr:nvSpPr>
      <xdr:spPr>
        <a:xfrm>
          <a:off x="7585949" y="801677"/>
          <a:ext cx="902240" cy="36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E6C4EAC-0974-4340-86BA-4A40655D6499}" type="TxLink">
            <a:rPr lang="en-US" sz="1600" b="1" i="0" u="none" strike="noStrike">
              <a:solidFill>
                <a:srgbClr val="000000"/>
              </a:solidFill>
              <a:latin typeface="Calibri"/>
              <a:ea typeface="Calibri"/>
              <a:cs typeface="Calibri"/>
            </a:rPr>
            <a:pPr marL="0" indent="0" algn="ctr"/>
            <a:t>45150</a:t>
          </a:fld>
          <a:endParaRPr lang="en-IN" sz="1600" b="1" i="0" u="none" strike="noStrike">
            <a:solidFill>
              <a:srgbClr val="000000"/>
            </a:solidFill>
            <a:latin typeface="Calibri"/>
            <a:ea typeface="Calibri"/>
            <a:cs typeface="Calibri"/>
          </a:endParaRPr>
        </a:p>
      </xdr:txBody>
    </xdr:sp>
    <xdr:clientData/>
  </xdr:twoCellAnchor>
  <xdr:twoCellAnchor>
    <xdr:from>
      <xdr:col>15</xdr:col>
      <xdr:colOff>89474</xdr:colOff>
      <xdr:row>4</xdr:row>
      <xdr:rowOff>74762</xdr:rowOff>
    </xdr:from>
    <xdr:to>
      <xdr:col>17</xdr:col>
      <xdr:colOff>79643</xdr:colOff>
      <xdr:row>6</xdr:row>
      <xdr:rowOff>79822</xdr:rowOff>
    </xdr:to>
    <xdr:sp macro="" textlink="Pivot!D6">
      <xdr:nvSpPr>
        <xdr:cNvPr id="15" name="TextBox 14">
          <a:extLst>
            <a:ext uri="{FF2B5EF4-FFF2-40B4-BE49-F238E27FC236}">
              <a16:creationId xmlns:a16="http://schemas.microsoft.com/office/drawing/2014/main" id="{CC0AC4DA-EABB-6ADC-56C7-BDD30E3D9AEE}"/>
            </a:ext>
          </a:extLst>
        </xdr:cNvPr>
        <xdr:cNvSpPr txBox="1"/>
      </xdr:nvSpPr>
      <xdr:spPr>
        <a:xfrm>
          <a:off x="9256108" y="799039"/>
          <a:ext cx="1212386" cy="36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991C325-D9E0-4BB4-8A4D-E665551AC826}" type="TxLink">
            <a:rPr lang="en-US" sz="1600" b="1" i="0" u="none" strike="noStrike">
              <a:solidFill>
                <a:srgbClr val="000000"/>
              </a:solidFill>
              <a:latin typeface="Calibri"/>
              <a:ea typeface="Calibri"/>
              <a:cs typeface="Calibri"/>
            </a:rPr>
            <a:pPr marL="0" indent="0" algn="ctr"/>
            <a:t>150.5</a:t>
          </a:fld>
          <a:endParaRPr lang="en-IN" sz="1600" b="1" i="0" u="none" strike="noStrike">
            <a:solidFill>
              <a:srgbClr val="000000"/>
            </a:solidFill>
            <a:latin typeface="Calibri"/>
            <a:ea typeface="Calibri"/>
            <a:cs typeface="Calibri"/>
          </a:endParaRPr>
        </a:p>
      </xdr:txBody>
    </xdr:sp>
    <xdr:clientData/>
  </xdr:twoCellAnchor>
  <xdr:twoCellAnchor editAs="oneCell">
    <xdr:from>
      <xdr:col>7</xdr:col>
      <xdr:colOff>357390</xdr:colOff>
      <xdr:row>2</xdr:row>
      <xdr:rowOff>166660</xdr:rowOff>
    </xdr:from>
    <xdr:to>
      <xdr:col>8</xdr:col>
      <xdr:colOff>60949</xdr:colOff>
      <xdr:row>4</xdr:row>
      <xdr:rowOff>16070</xdr:rowOff>
    </xdr:to>
    <xdr:pic>
      <xdr:nvPicPr>
        <xdr:cNvPr id="17" name="Graphic 16">
          <a:extLst>
            <a:ext uri="{FF2B5EF4-FFF2-40B4-BE49-F238E27FC236}">
              <a16:creationId xmlns:a16="http://schemas.microsoft.com/office/drawing/2014/main" id="{EFA0720B-B5D1-5F13-509E-6F885F7599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 uri="{837473B0-CC2E-450A-ABE3-18F120FF3D39}">
              <a1611:picAttrSrcUrl xmlns:a1611="http://schemas.microsoft.com/office/drawing/2016/11/main" r:id="rId3"/>
            </a:ext>
          </a:extLst>
        </a:blip>
        <a:stretch>
          <a:fillRect/>
        </a:stretch>
      </xdr:blipFill>
      <xdr:spPr>
        <a:xfrm>
          <a:off x="4635152" y="528799"/>
          <a:ext cx="314668" cy="211548"/>
        </a:xfrm>
        <a:prstGeom prst="rect">
          <a:avLst/>
        </a:prstGeom>
      </xdr:spPr>
    </xdr:pic>
    <xdr:clientData/>
  </xdr:twoCellAnchor>
  <xdr:twoCellAnchor editAs="oneCell">
    <xdr:from>
      <xdr:col>10</xdr:col>
      <xdr:colOff>457653</xdr:colOff>
      <xdr:row>2</xdr:row>
      <xdr:rowOff>143573</xdr:rowOff>
    </xdr:from>
    <xdr:to>
      <xdr:col>11</xdr:col>
      <xdr:colOff>160473</xdr:colOff>
      <xdr:row>4</xdr:row>
      <xdr:rowOff>92044</xdr:rowOff>
    </xdr:to>
    <xdr:pic>
      <xdr:nvPicPr>
        <xdr:cNvPr id="19" name="Picture 18">
          <a:extLst>
            <a:ext uri="{FF2B5EF4-FFF2-40B4-BE49-F238E27FC236}">
              <a16:creationId xmlns:a16="http://schemas.microsoft.com/office/drawing/2014/main" id="{1A5413BF-D527-572F-4AB9-91BAD99F9AD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6568742" y="505712"/>
          <a:ext cx="313929" cy="310609"/>
        </a:xfrm>
        <a:prstGeom prst="rect">
          <a:avLst/>
        </a:prstGeom>
      </xdr:spPr>
    </xdr:pic>
    <xdr:clientData/>
  </xdr:twoCellAnchor>
  <xdr:twoCellAnchor editAs="oneCell">
    <xdr:from>
      <xdr:col>13</xdr:col>
      <xdr:colOff>411480</xdr:colOff>
      <xdr:row>3</xdr:row>
      <xdr:rowOff>38100</xdr:rowOff>
    </xdr:from>
    <xdr:to>
      <xdr:col>14</xdr:col>
      <xdr:colOff>335280</xdr:colOff>
      <xdr:row>5</xdr:row>
      <xdr:rowOff>65167</xdr:rowOff>
    </xdr:to>
    <xdr:pic>
      <xdr:nvPicPr>
        <xdr:cNvPr id="21" name="Picture 20">
          <a:extLst>
            <a:ext uri="{FF2B5EF4-FFF2-40B4-BE49-F238E27FC236}">
              <a16:creationId xmlns:a16="http://schemas.microsoft.com/office/drawing/2014/main" id="{7423C7F8-16A0-0F7C-1BF4-6DFDDE87489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8336280" y="586740"/>
          <a:ext cx="533400" cy="392827"/>
        </a:xfrm>
        <a:prstGeom prst="rect">
          <a:avLst/>
        </a:prstGeom>
      </xdr:spPr>
    </xdr:pic>
    <xdr:clientData/>
  </xdr:twoCellAnchor>
  <xdr:twoCellAnchor editAs="oneCell">
    <xdr:from>
      <xdr:col>16</xdr:col>
      <xdr:colOff>510540</xdr:colOff>
      <xdr:row>3</xdr:row>
      <xdr:rowOff>58188</xdr:rowOff>
    </xdr:from>
    <xdr:to>
      <xdr:col>17</xdr:col>
      <xdr:colOff>297180</xdr:colOff>
      <xdr:row>4</xdr:row>
      <xdr:rowOff>163483</xdr:rowOff>
    </xdr:to>
    <xdr:pic>
      <xdr:nvPicPr>
        <xdr:cNvPr id="23" name="Picture 22">
          <a:extLst>
            <a:ext uri="{FF2B5EF4-FFF2-40B4-BE49-F238E27FC236}">
              <a16:creationId xmlns:a16="http://schemas.microsoft.com/office/drawing/2014/main" id="{B038D8D2-66AD-7236-9A68-7C64DFF54CD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10222811" y="600629"/>
          <a:ext cx="393657" cy="286108"/>
        </a:xfrm>
        <a:prstGeom prst="rect">
          <a:avLst/>
        </a:prstGeom>
      </xdr:spPr>
    </xdr:pic>
    <xdr:clientData/>
  </xdr:twoCellAnchor>
  <xdr:twoCellAnchor editAs="oneCell">
    <xdr:from>
      <xdr:col>2</xdr:col>
      <xdr:colOff>593490</xdr:colOff>
      <xdr:row>2</xdr:row>
      <xdr:rowOff>124535</xdr:rowOff>
    </xdr:from>
    <xdr:to>
      <xdr:col>4</xdr:col>
      <xdr:colOff>26561</xdr:colOff>
      <xdr:row>5</xdr:row>
      <xdr:rowOff>20255</xdr:rowOff>
    </xdr:to>
    <xdr:pic>
      <xdr:nvPicPr>
        <xdr:cNvPr id="30" name="Picture 29">
          <a:extLst>
            <a:ext uri="{FF2B5EF4-FFF2-40B4-BE49-F238E27FC236}">
              <a16:creationId xmlns:a16="http://schemas.microsoft.com/office/drawing/2014/main" id="{7E10A386-9A6F-2AE7-3AC6-B666BDF4D47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1812690" y="494649"/>
          <a:ext cx="652271" cy="450892"/>
        </a:xfrm>
        <a:prstGeom prst="rect">
          <a:avLst/>
        </a:prstGeom>
      </xdr:spPr>
    </xdr:pic>
    <xdr:clientData/>
  </xdr:twoCellAnchor>
  <xdr:twoCellAnchor>
    <xdr:from>
      <xdr:col>1</xdr:col>
      <xdr:colOff>539496</xdr:colOff>
      <xdr:row>4</xdr:row>
      <xdr:rowOff>122355</xdr:rowOff>
    </xdr:from>
    <xdr:to>
      <xdr:col>5</xdr:col>
      <xdr:colOff>155448</xdr:colOff>
      <xdr:row>7</xdr:row>
      <xdr:rowOff>89698</xdr:rowOff>
    </xdr:to>
    <xdr:sp macro="" textlink="">
      <xdr:nvSpPr>
        <xdr:cNvPr id="31" name="TextBox 30">
          <a:extLst>
            <a:ext uri="{FF2B5EF4-FFF2-40B4-BE49-F238E27FC236}">
              <a16:creationId xmlns:a16="http://schemas.microsoft.com/office/drawing/2014/main" id="{75AE0D5A-0585-992F-5A16-7BABA23B0964}"/>
            </a:ext>
          </a:extLst>
        </xdr:cNvPr>
        <xdr:cNvSpPr txBox="1"/>
      </xdr:nvSpPr>
      <xdr:spPr>
        <a:xfrm>
          <a:off x="1149096" y="862584"/>
          <a:ext cx="2054352"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i="1">
              <a:solidFill>
                <a:srgbClr val="A20000"/>
              </a:solidFill>
            </a:rPr>
            <a:t>SUPERMARKET</a:t>
          </a:r>
          <a:r>
            <a:rPr lang="en-IN" sz="1600" i="1" baseline="0">
              <a:solidFill>
                <a:srgbClr val="A20000"/>
              </a:solidFill>
            </a:rPr>
            <a:t> SALES</a:t>
          </a:r>
          <a:endParaRPr lang="en-IN" sz="1600" i="1">
            <a:solidFill>
              <a:srgbClr val="A20000"/>
            </a:solidFill>
          </a:endParaRPr>
        </a:p>
      </xdr:txBody>
    </xdr:sp>
    <xdr:clientData/>
  </xdr:twoCellAnchor>
  <xdr:twoCellAnchor>
    <xdr:from>
      <xdr:col>5</xdr:col>
      <xdr:colOff>294654</xdr:colOff>
      <xdr:row>8</xdr:row>
      <xdr:rowOff>14945</xdr:rowOff>
    </xdr:from>
    <xdr:to>
      <xdr:col>11</xdr:col>
      <xdr:colOff>359229</xdr:colOff>
      <xdr:row>19</xdr:row>
      <xdr:rowOff>73925</xdr:rowOff>
    </xdr:to>
    <xdr:graphicFrame macro="">
      <xdr:nvGraphicFramePr>
        <xdr:cNvPr id="16" name="Chart 15">
          <a:extLst>
            <a:ext uri="{FF2B5EF4-FFF2-40B4-BE49-F238E27FC236}">
              <a16:creationId xmlns:a16="http://schemas.microsoft.com/office/drawing/2014/main" id="{2D3EF48B-9A92-443E-9BD9-C7BAE03EE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428383</xdr:colOff>
      <xdr:row>2</xdr:row>
      <xdr:rowOff>7007</xdr:rowOff>
    </xdr:from>
    <xdr:to>
      <xdr:col>20</xdr:col>
      <xdr:colOff>201390</xdr:colOff>
      <xdr:row>7</xdr:row>
      <xdr:rowOff>110175</xdr:rowOff>
    </xdr:to>
    <xdr:graphicFrame macro="">
      <xdr:nvGraphicFramePr>
        <xdr:cNvPr id="18" name="Chart 17">
          <a:extLst>
            <a:ext uri="{FF2B5EF4-FFF2-40B4-BE49-F238E27FC236}">
              <a16:creationId xmlns:a16="http://schemas.microsoft.com/office/drawing/2014/main" id="{7EAB0E99-4A42-49C2-B533-DF6802961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476131</xdr:colOff>
      <xdr:row>19</xdr:row>
      <xdr:rowOff>149602</xdr:rowOff>
    </xdr:from>
    <xdr:to>
      <xdr:col>20</xdr:col>
      <xdr:colOff>185056</xdr:colOff>
      <xdr:row>33</xdr:row>
      <xdr:rowOff>18585</xdr:rowOff>
    </xdr:to>
    <xdr:graphicFrame macro="">
      <xdr:nvGraphicFramePr>
        <xdr:cNvPr id="26" name="Chart 25">
          <a:extLst>
            <a:ext uri="{FF2B5EF4-FFF2-40B4-BE49-F238E27FC236}">
              <a16:creationId xmlns:a16="http://schemas.microsoft.com/office/drawing/2014/main" id="{F8373243-2662-443D-8F85-0DB36ACD6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452974</xdr:colOff>
      <xdr:row>8</xdr:row>
      <xdr:rowOff>10886</xdr:rowOff>
    </xdr:from>
    <xdr:to>
      <xdr:col>15</xdr:col>
      <xdr:colOff>543959</xdr:colOff>
      <xdr:row>19</xdr:row>
      <xdr:rowOff>75741</xdr:rowOff>
    </xdr:to>
    <xdr:graphicFrame macro="">
      <xdr:nvGraphicFramePr>
        <xdr:cNvPr id="27" name="Chart 26">
          <a:extLst>
            <a:ext uri="{FF2B5EF4-FFF2-40B4-BE49-F238E27FC236}">
              <a16:creationId xmlns:a16="http://schemas.microsoft.com/office/drawing/2014/main" id="{AA9230F1-27B6-4053-BF86-F93DD7F5B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269094</xdr:colOff>
      <xdr:row>19</xdr:row>
      <xdr:rowOff>166552</xdr:rowOff>
    </xdr:from>
    <xdr:to>
      <xdr:col>11</xdr:col>
      <xdr:colOff>380999</xdr:colOff>
      <xdr:row>33</xdr:row>
      <xdr:rowOff>21771</xdr:rowOff>
    </xdr:to>
    <xdr:graphicFrame macro="">
      <xdr:nvGraphicFramePr>
        <xdr:cNvPr id="28" name="Chart 27">
          <a:extLst>
            <a:ext uri="{FF2B5EF4-FFF2-40B4-BE49-F238E27FC236}">
              <a16:creationId xmlns:a16="http://schemas.microsoft.com/office/drawing/2014/main" id="{8EB8DF84-B89B-423B-8842-70AC84AF5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xdr:col>
      <xdr:colOff>45088</xdr:colOff>
      <xdr:row>6</xdr:row>
      <xdr:rowOff>133629</xdr:rowOff>
    </xdr:from>
    <xdr:to>
      <xdr:col>5</xdr:col>
      <xdr:colOff>41557</xdr:colOff>
      <xdr:row>16</xdr:row>
      <xdr:rowOff>157975</xdr:rowOff>
    </xdr:to>
    <mc:AlternateContent xmlns:mc="http://schemas.openxmlformats.org/markup-compatibility/2006">
      <mc:Choice xmlns:a14="http://schemas.microsoft.com/office/drawing/2010/main" Requires="a14">
        <xdr:graphicFrame macro="">
          <xdr:nvGraphicFramePr>
            <xdr:cNvPr id="29" name="Month">
              <a:extLst>
                <a:ext uri="{FF2B5EF4-FFF2-40B4-BE49-F238E27FC236}">
                  <a16:creationId xmlns:a16="http://schemas.microsoft.com/office/drawing/2014/main" id="{9E4A385E-C5BF-400A-94E4-D37D7CFBF91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64288" y="1243972"/>
              <a:ext cx="1825269" cy="1874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47412</xdr:colOff>
      <xdr:row>17</xdr:row>
      <xdr:rowOff>9727</xdr:rowOff>
    </xdr:from>
    <xdr:to>
      <xdr:col>5</xdr:col>
      <xdr:colOff>36261</xdr:colOff>
      <xdr:row>24</xdr:row>
      <xdr:rowOff>154878</xdr:rowOff>
    </xdr:to>
    <mc:AlternateContent xmlns:mc="http://schemas.openxmlformats.org/markup-compatibility/2006">
      <mc:Choice xmlns:a14="http://schemas.microsoft.com/office/drawing/2010/main" Requires="a14">
        <xdr:graphicFrame macro="">
          <xdr:nvGraphicFramePr>
            <xdr:cNvPr id="32" name="Category 1">
              <a:extLst>
                <a:ext uri="{FF2B5EF4-FFF2-40B4-BE49-F238E27FC236}">
                  <a16:creationId xmlns:a16="http://schemas.microsoft.com/office/drawing/2014/main" id="{45733562-E787-49BD-9407-E5939F41672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66612" y="3155698"/>
              <a:ext cx="1817649" cy="1440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63672</xdr:colOff>
      <xdr:row>25</xdr:row>
      <xdr:rowOff>22118</xdr:rowOff>
    </xdr:from>
    <xdr:to>
      <xdr:col>5</xdr:col>
      <xdr:colOff>52521</xdr:colOff>
      <xdr:row>32</xdr:row>
      <xdr:rowOff>167269</xdr:rowOff>
    </xdr:to>
    <mc:AlternateContent xmlns:mc="http://schemas.openxmlformats.org/markup-compatibility/2006">
      <mc:Choice xmlns:a14="http://schemas.microsoft.com/office/drawing/2010/main" Requires="a14">
        <xdr:graphicFrame macro="">
          <xdr:nvGraphicFramePr>
            <xdr:cNvPr id="33" name="Payment Method 1">
              <a:extLst>
                <a:ext uri="{FF2B5EF4-FFF2-40B4-BE49-F238E27FC236}">
                  <a16:creationId xmlns:a16="http://schemas.microsoft.com/office/drawing/2014/main" id="{439BB93F-0F23-4D96-8A6B-D7E8689C7AB7}"/>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1282872" y="4648547"/>
              <a:ext cx="1817649" cy="1440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569297</xdr:colOff>
      <xdr:row>8</xdr:row>
      <xdr:rowOff>25664</xdr:rowOff>
    </xdr:from>
    <xdr:to>
      <xdr:col>20</xdr:col>
      <xdr:colOff>174770</xdr:colOff>
      <xdr:row>19</xdr:row>
      <xdr:rowOff>90881</xdr:rowOff>
    </xdr:to>
    <xdr:graphicFrame macro="">
      <xdr:nvGraphicFramePr>
        <xdr:cNvPr id="34" name="Chart 33">
          <a:extLst>
            <a:ext uri="{FF2B5EF4-FFF2-40B4-BE49-F238E27FC236}">
              <a16:creationId xmlns:a16="http://schemas.microsoft.com/office/drawing/2014/main" id="{03BBCA31-B87A-4975-B7B9-4EC22A14B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Supriya" refreshedDate="46002.478564930556" createdVersion="8" refreshedVersion="8" minRefreshableVersion="3" recordCount="300" xr:uid="{6030D3BE-A8CF-4061-84B3-C341E8DCBEE8}">
  <cacheSource type="worksheet">
    <worksheetSource name="Table1"/>
  </cacheSource>
  <cacheFields count="13">
    <cacheField name="Invoice ID" numFmtId="0">
      <sharedItems containsSemiMixedTypes="0" containsString="0" containsNumber="1" containsInteger="1" minValue="1" maxValue="300"/>
    </cacheField>
    <cacheField name="Date" numFmtId="14">
      <sharedItems containsSemiMixedTypes="0" containsNonDate="0" containsDate="1" containsString="0" minDate="2024-01-03T00:00:00" maxDate="2025-01-01T00:00:00" count="288">
        <d v="2024-03-15T00:00:00"/>
        <d v="2024-07-02T00:00:00"/>
        <d v="2024-01-24T00:00:00"/>
        <d v="2024-08-17T00:00:00"/>
        <d v="2024-04-09T00:00:00"/>
        <d v="2024-10-12T00:00:00"/>
        <d v="2024-11-03T00:00:00"/>
        <d v="2024-06-21T00:00:00"/>
        <d v="2024-02-14T00:00:00"/>
        <d v="2024-05-28T00:00:00"/>
        <d v="2024-09-07T00:00:00"/>
        <d v="2024-12-22T00:00:00"/>
        <d v="2024-03-03T00:00:00"/>
        <d v="2024-07-19T00:00:00"/>
        <d v="2024-01-10T00:00:00"/>
        <d v="2024-05-05T00:00:00"/>
        <d v="2024-08-09T00:00:00"/>
        <d v="2024-11-15T00:00:00"/>
        <d v="2024-04-26T00:00:00"/>
        <d v="2024-10-03T00:00:00"/>
        <d v="2024-12-17T00:00:00"/>
        <d v="2024-02-20T00:00:00"/>
        <d v="2024-06-11T00:00:00"/>
        <d v="2024-09-28T00:00:00"/>
        <d v="2024-03-22T00:00:00"/>
        <d v="2024-07-14T00:00:00"/>
        <d v="2024-11-29T00:00:00"/>
        <d v="2024-04-05T00:00:00"/>
        <d v="2024-09-18T00:00:00"/>
        <d v="2024-02-11T00:00:00"/>
        <d v="2024-05-15T00:00:00"/>
        <d v="2024-08-26T00:00:00"/>
        <d v="2024-01-19T00:00:00"/>
        <d v="2024-06-03T00:00:00"/>
        <d v="2024-10-21T00:00:00"/>
        <d v="2024-03-17T00:00:00"/>
        <d v="2024-12-06T00:00:00"/>
        <d v="2024-07-01T00:00:00"/>
        <d v="2024-04-27T00:00:00"/>
        <d v="2024-09-11T00:00:00"/>
        <d v="2024-01-08T00:00:00"/>
        <d v="2024-05-22T00:00:00"/>
        <d v="2024-08-30T00:00:00"/>
        <d v="2024-11-10T00:00:00"/>
        <d v="2024-02-07T00:00:00"/>
        <d v="2024-06-19T00:00:00"/>
        <d v="2024-10-02T00:00:00"/>
        <d v="2024-04-15T00:00:00"/>
        <d v="2024-09-25T00:00:00"/>
        <d v="2024-12-29T00:00:00"/>
        <d v="2024-01-14T00:00:00"/>
        <d v="2024-03-29T00:00:00"/>
        <d v="2024-06-09T00:00:00"/>
        <d v="2024-09-20T00:00:00"/>
        <d v="2024-12-03T00:00:00"/>
        <d v="2024-02-18T00:00:00"/>
        <d v="2024-05-12T00:00:00"/>
        <d v="2024-08-24T00:00:00"/>
        <d v="2024-11-19T00:00:00"/>
        <d v="2024-04-02T00:00:00"/>
        <d v="2024-07-26T00:00:00"/>
        <d v="2024-10-14T00:00:00"/>
        <d v="2024-01-25T00:00:00"/>
        <d v="2024-03-12T00:00:00"/>
        <d v="2024-06-29T00:00:00"/>
        <d v="2024-09-06T00:00:00"/>
        <d v="2024-12-15T00:00:00"/>
        <d v="2024-02-02T00:00:00"/>
        <d v="2024-05-24T00:00:00"/>
        <d v="2024-08-02T00:00:00"/>
        <d v="2024-11-23T00:00:00"/>
        <d v="2024-04-19T00:00:00"/>
        <d v="2024-07-09T00:00:00"/>
        <d v="2024-10-30T00:00:00"/>
        <d v="2024-01-05T00:00:00"/>
        <d v="2024-03-08T00:00:00"/>
        <d v="2024-06-18T00:00:00"/>
        <d v="2024-09-27T00:00:00"/>
        <d v="2024-12-11T00:00:00"/>
        <d v="2024-02-05T00:00:00"/>
        <d v="2024-05-14T00:00:00"/>
        <d v="2024-08-06T00:00:00"/>
        <d v="2024-11-21T00:00:00"/>
        <d v="2024-04-08T00:00:00"/>
        <d v="2024-07-30T00:00:00"/>
        <d v="2024-10-09T00:00:00"/>
        <d v="2024-01-21T00:00:00"/>
        <d v="2024-03-25T00:00:00"/>
        <d v="2024-06-27T00:00:00"/>
        <d v="2024-09-03T00:00:00"/>
        <d v="2024-12-20T00:00:00"/>
        <d v="2024-02-27T00:00:00"/>
        <d v="2024-05-19T00:00:00"/>
        <d v="2024-08-15T00:00:00"/>
        <d v="2024-11-01T00:00:00"/>
        <d v="2024-04-23T00:00:00"/>
        <d v="2024-07-05T00:00:00"/>
        <d v="2024-10-18T00:00:00"/>
        <d v="2024-01-29T00:00:00"/>
        <d v="2024-03-31T00:00:00"/>
        <d v="2024-04-14T00:00:00"/>
        <d v="2024-07-18T00:00:00"/>
        <d v="2024-10-27T00:00:00"/>
        <d v="2024-01-12T00:00:00"/>
        <d v="2024-03-19T00:00:00"/>
        <d v="2024-06-23T00:00:00"/>
        <d v="2024-09-08T00:00:00"/>
        <d v="2024-12-05T00:00:00"/>
        <d v="2024-02-09T00:00:00"/>
        <d v="2024-08-11T00:00:00"/>
        <d v="2024-11-14T00:00:00"/>
        <d v="2024-04-21T00:00:00"/>
        <d v="2024-07-06T00:00:00"/>
        <d v="2024-10-01T00:00:00"/>
        <d v="2024-01-30T00:00:00"/>
        <d v="2024-03-06T00:00:00"/>
        <d v="2024-06-12T00:00:00"/>
        <d v="2024-09-22T00:00:00"/>
        <d v="2024-12-31T00:00:00"/>
        <d v="2024-02-22T00:00:00"/>
        <d v="2024-05-02T00:00:00"/>
        <d v="2024-08-19T00:00:00"/>
        <d v="2024-11-07T00:00:00"/>
        <d v="2024-04-11T00:00:00"/>
        <d v="2024-07-29T00:00:00"/>
        <d v="2024-10-24T00:00:00"/>
        <d v="2024-01-03T00:00:00"/>
        <d v="2024-03-20T00:00:00"/>
        <d v="2024-06-15T00:00:00"/>
        <d v="2024-09-04T00:00:00"/>
        <d v="2024-12-12T00:00:00"/>
        <d v="2024-02-06T00:00:00"/>
        <d v="2024-05-26T00:00:00"/>
        <d v="2024-08-04T00:00:00"/>
        <d v="2024-11-18T00:00:00"/>
        <d v="2024-04-01T00:00:00"/>
        <d v="2024-07-16T00:00:00"/>
        <d v="2024-10-05T00:00:00"/>
        <d v="2024-01-28T00:00:00"/>
        <d v="2024-03-11T00:00:00"/>
        <d v="2024-06-07T00:00:00"/>
        <d v="2024-09-29T00:00:00"/>
        <d v="2024-12-25T00:00:00"/>
        <d v="2024-05-09T00:00:00"/>
        <d v="2024-08-14T00:00:00"/>
        <d v="2024-11-28T00:00:00"/>
        <d v="2024-04-07T00:00:00"/>
        <d v="2024-07-11T00:00:00"/>
        <d v="2024-10-31T00:00:00"/>
        <d v="2024-01-18T00:00:00"/>
        <d v="2024-03-27T00:00:00"/>
        <d v="2024-06-25T00:00:00"/>
        <d v="2024-09-16T00:00:00"/>
        <d v="2024-12-09T00:00:00"/>
        <d v="2024-02-01T00:00:00"/>
        <d v="2024-05-18T00:00:00"/>
        <d v="2024-08-10T00:00:00"/>
        <d v="2024-11-05T00:00:00"/>
        <d v="2024-07-22T00:00:00"/>
        <d v="2024-10-20T00:00:00"/>
        <d v="2024-01-26T00:00:00"/>
        <d v="2024-06-10T00:00:00"/>
        <d v="2024-09-02T00:00:00"/>
        <d v="2024-12-18T00:00:00"/>
        <d v="2024-02-16T00:00:00"/>
        <d v="2024-05-25T00:00:00"/>
        <d v="2024-08-29T00:00:00"/>
        <d v="2024-11-13T00:00:00"/>
        <d v="2024-04-16T00:00:00"/>
        <d v="2024-07-07T00:00:00"/>
        <d v="2024-10-23T00:00:00"/>
        <d v="2024-01-22T00:00:00"/>
        <d v="2024-03-05T00:00:00"/>
        <d v="2024-06-04T00:00:00"/>
        <d v="2024-09-30T00:00:00"/>
        <d v="2024-12-26T00:00:00"/>
        <d v="2024-02-13T00:00:00"/>
        <d v="2024-05-11T00:00:00"/>
        <d v="2024-08-18T00:00:00"/>
        <d v="2024-11-09T00:00:00"/>
        <d v="2024-04-10T00:00:00"/>
        <d v="2024-07-20T00:00:00"/>
        <d v="2024-10-04T00:00:00"/>
        <d v="2024-01-15T00:00:00"/>
        <d v="2024-06-16T00:00:00"/>
        <d v="2024-09-12T00:00:00"/>
        <d v="2024-12-07T00:00:00"/>
        <d v="2024-02-04T00:00:00"/>
        <d v="2024-05-23T00:00:00"/>
        <d v="2024-08-03T00:00:00"/>
        <d v="2024-11-30T00:00:00"/>
        <d v="2024-04-03T00:00:00"/>
        <d v="2024-07-24T00:00:00"/>
        <d v="2024-10-13T00:00:00"/>
        <d v="2024-01-11T00:00:00"/>
        <d v="2024-03-09T00:00:00"/>
        <d v="2024-06-22T00:00:00"/>
        <d v="2024-09-15T00:00:00"/>
        <d v="2024-12-27T00:00:00"/>
        <d v="2024-02-19T00:00:00"/>
        <d v="2024-05-06T00:00:00"/>
        <d v="2024-11-04T00:00:00"/>
        <d v="2024-04-06T00:00:00"/>
        <d v="2024-07-27T00:00:00"/>
        <d v="2024-10-25T00:00:00"/>
        <d v="2024-01-20T00:00:00"/>
        <d v="2024-03-23T00:00:00"/>
        <d v="2024-06-28T00:00:00"/>
        <d v="2024-09-09T00:00:00"/>
        <d v="2024-12-16T00:00:00"/>
        <d v="2024-02-26T00:00:00"/>
        <d v="2024-05-07T00:00:00"/>
        <d v="2024-08-13T00:00:00"/>
        <d v="2024-11-24T00:00:00"/>
        <d v="2024-04-18T00:00:00"/>
        <d v="2024-07-13T00:00:00"/>
        <d v="2024-10-16T00:00:00"/>
        <d v="2024-01-07T00:00:00"/>
        <d v="2024-03-26T00:00:00"/>
        <d v="2024-06-05T00:00:00"/>
        <d v="2024-09-26T00:00:00"/>
        <d v="2024-12-01T00:00:00"/>
        <d v="2024-02-08T00:00:00"/>
        <d v="2024-05-21T00:00:00"/>
        <d v="2024-08-01T00:00:00"/>
        <d v="2024-11-22T00:00:00"/>
        <d v="2024-04-24T00:00:00"/>
        <d v="2024-07-04T00:00:00"/>
        <d v="2024-10-07T00:00:00"/>
        <d v="2024-01-23T00:00:00"/>
        <d v="2024-06-08T00:00:00"/>
        <d v="2024-09-01T00:00:00"/>
        <d v="2024-12-21T00:00:00"/>
        <d v="2024-02-12T00:00:00"/>
        <d v="2024-05-10T00:00:00"/>
        <d v="2024-11-17T00:00:00"/>
        <d v="2024-04-12T00:00:00"/>
        <d v="2024-07-10T00:00:00"/>
        <d v="2024-10-26T00:00:00"/>
        <d v="2024-01-09T00:00:00"/>
        <d v="2024-03-13T00:00:00"/>
        <d v="2024-06-17T00:00:00"/>
        <d v="2024-12-14T00:00:00"/>
        <d v="2024-02-03T00:00:00"/>
        <d v="2024-05-20T00:00:00"/>
        <d v="2024-08-05T00:00:00"/>
        <d v="2024-11-12T00:00:00"/>
        <d v="2024-07-23T00:00:00"/>
        <d v="2024-10-08T00:00:00"/>
        <d v="2024-01-17T00:00:00"/>
        <d v="2024-03-24T00:00:00"/>
        <d v="2024-06-26T00:00:00"/>
        <d v="2024-09-05T00:00:00"/>
        <d v="2024-12-08T00:00:00"/>
        <d v="2024-02-21T00:00:00"/>
        <d v="2024-05-17T00:00:00"/>
        <d v="2024-08-22T00:00:00"/>
        <d v="2024-11-06T00:00:00"/>
        <d v="2024-04-04T00:00:00"/>
        <d v="2024-07-31T00:00:00"/>
        <d v="2024-10-11T00:00:00"/>
        <d v="2024-01-27T00:00:00"/>
        <d v="2024-03-18T00:00:00"/>
        <d v="2024-06-24T00:00:00"/>
        <d v="2024-09-21T00:00:00"/>
        <d v="2024-12-30T00:00:00"/>
        <d v="2024-02-28T00:00:00"/>
        <d v="2024-05-29T00:00:00"/>
        <d v="2024-08-25T00:00:00"/>
        <d v="2024-11-02T00:00:00"/>
        <d v="2024-07-08T00:00:00"/>
        <d v="2024-10-22T00:00:00"/>
        <d v="2024-01-13T00:00:00"/>
        <d v="2024-03-14T00:00:00"/>
        <d v="2024-06-06T00:00:00"/>
        <d v="2024-09-19T00:00:00"/>
        <d v="2024-02-25T00:00:00"/>
        <d v="2024-05-04T00:00:00"/>
        <d v="2024-08-12T00:00:00"/>
        <d v="2024-11-26T00:00:00"/>
        <d v="2024-04-20T00:00:00"/>
        <d v="2024-07-15T00:00:00"/>
        <d v="2024-10-10T00:00:00"/>
        <d v="2024-01-04T00:00:00"/>
        <d v="2024-03-28T00:00:00"/>
        <d v="2024-06-01T00:00:00"/>
        <d v="2024-09-14T00:00:00"/>
        <d v="2024-12-13T00:00:00"/>
      </sharedItems>
      <fieldGroup par="12"/>
    </cacheField>
    <cacheField name="Product" numFmtId="0">
      <sharedItems count="294">
        <s v="Beverages Item 27"/>
        <s v="Bakery Item 11"/>
        <s v="Dairy Item 6"/>
        <s v="Snacks Item 19"/>
        <s v="Vegetables Item 2"/>
        <s v="Frozen Food Item 44"/>
        <s v="Personal Care Item 9"/>
        <s v="Snacks Item 31"/>
        <s v="Dairy Item 17"/>
        <s v="Bakery Item 4"/>
        <s v="Beverages Item 8"/>
        <s v="Vegetables Item 13"/>
        <s v="Cleaning Supplies Item 12"/>
        <s v="Snacks Item 44"/>
        <s v="Frozen Food Item 3"/>
        <s v="Beverages Item 40"/>
        <s v="Dairy Item 29"/>
        <s v="Bakery Item 18"/>
        <s v="Personal Care Item 14"/>
        <s v="Snacks Item 22"/>
        <s v="Beverages Item 10"/>
        <s v="Dairy Item 2"/>
        <s v="Vegetables Item 50"/>
        <s v="Frozen Food Item 15"/>
        <s v="Bakery Item 29"/>
        <s v="Beverages Item 35"/>
        <s v="Snacks Item 8"/>
        <s v="Dairy Item 33"/>
        <s v="Vegetables Item 21"/>
        <s v="Frozen Food Item 19"/>
        <s v="Bakery Item 25"/>
        <s v="Personal Care Item 5"/>
        <s v="Snacks Item 30"/>
        <s v="Cleaning Supplies Item 2"/>
        <s v="Beverages Item 50"/>
        <s v="Dairy Item 10"/>
        <s v="Snacks Item 25"/>
        <s v="Bakery Item 43"/>
        <s v="Vegetables Item 3"/>
        <s v="Frozen Food Item 46"/>
        <s v="Beverages Item 12"/>
        <s v="Snacks Item 17"/>
        <s v="Dairy Item 41"/>
        <s v="Personal Care Item 16"/>
        <s v="Cleaning Supplies Item 7"/>
        <s v="Bakery Item 6"/>
        <s v="Vegetables Item 19"/>
        <s v="Frozen Food Item 32"/>
        <s v="Beverages Item 2"/>
        <s v="Snacks Item 49"/>
        <s v="Dairy Item 22"/>
        <s v="Bakery Item 47"/>
        <s v="Vegetables Item 27"/>
        <s v="Frozen Food Item 7"/>
        <s v="Personal Care Item 20"/>
        <s v="Beverages Item 45"/>
        <s v="Snacks Item 13"/>
        <s v="Dairy Item 15"/>
        <s v="Bakery Item 31"/>
        <s v="Vegetables Item 38"/>
        <s v="Frozen Food Item 26"/>
        <s v="Beverages Item 1"/>
        <s v="Snacks Item 21"/>
        <s v="Personal Care Item 11"/>
        <s v="Cleaning Supplies Item 18"/>
        <s v="Bakery Item 33"/>
        <s v="Vegetables Item 11"/>
        <s v="Frozen Food Item 21"/>
        <s v="Beverages Item 17"/>
        <s v="Snacks Item 32"/>
        <s v="Dairy Item 7"/>
        <s v="Vegetables Item 44"/>
        <s v="Personal Care Item 24"/>
        <s v="Cleaning Supplies Item 3"/>
        <s v="Bakery Item 22"/>
        <s v="Beverages Item 23"/>
        <s v="Snacks Item 6"/>
        <s v="Dairy Item 28"/>
        <s v="Frozen Food Item 40"/>
        <s v="Personal Care Item 2"/>
        <s v="Bakery Item 5"/>
        <s v="Vegetables Item 15"/>
        <s v="Cleaning Supplies Item 9"/>
        <s v="Beverages Item 29"/>
        <s v="Snacks Item 11"/>
        <s v="Dairy Item 24"/>
        <s v="Bakery Item 17"/>
        <s v="Frozen Food Item 9"/>
        <s v="Beverages Item 13"/>
        <s v="Snacks Item 41"/>
        <s v="Personal Care Item 28"/>
        <s v="Cleaning Supplies Item 20"/>
        <s v="Vegetables Item 6"/>
        <s v="Beverages Item 48"/>
        <s v="Dairy Item 39"/>
        <s v="Frozen Food Item 25"/>
        <s v="Snacks Item 27"/>
        <s v="Bakery Item 10"/>
        <s v="Cleaning Supplies Item 4"/>
        <s v="Vegetables Item 30"/>
        <s v="Beverages Item 20"/>
        <s v="Snacks Item 14"/>
        <s v="Dairy Item 19"/>
        <s v="Bakery Item 3"/>
        <s v="Vegetables Item 18"/>
        <s v="Frozen Food Item 11"/>
        <s v="Personal Care Item 31"/>
        <s v="Cleaning Supplies Item 13"/>
        <s v="Beverages Item 33"/>
        <s v="Snacks Item 26"/>
        <s v="Dairy Item 4"/>
        <s v="Bakery Item 13"/>
        <s v="Vegetables Item 42"/>
        <s v="Frozen Food Item 30"/>
        <s v="Personal Care Item 19"/>
        <s v="Cleaning Supplies Item 6"/>
        <s v="Beverages Item 38"/>
        <s v="Snacks Item 47"/>
        <s v="Dairy Item 32"/>
        <s v="Bakery Item 49"/>
        <s v="Vegetables Item 26"/>
        <s v="Frozen Food Item 36"/>
        <s v="Beverages Item 46"/>
        <s v="Snacks Item 20"/>
        <s v="Dairy Item 11"/>
        <s v="Personal Care Item 18"/>
        <s v="Bakery Item 21"/>
        <s v="Vegetables Item 9"/>
        <s v="Frozen Food Item 23"/>
        <s v="Cleaning Supplies Item 11"/>
        <s v="Beverages Item 15"/>
        <s v="Snacks Item 10"/>
        <s v="Dairy Item 36"/>
        <s v="Bakery Item 2"/>
        <s v="Vegetables Item 49"/>
        <s v="Frozen Food Item 42"/>
        <s v="Cleaning Supplies Item 10"/>
        <s v="Beverages Item 4"/>
        <s v="Snacks Item 42"/>
        <s v="Dairy Item 8"/>
        <s v="Bakery Item 45"/>
        <s v="Vegetables Item 5"/>
        <s v="Frozen Food Item 29"/>
        <s v="Personal Care Item 40"/>
        <s v="Cleaning Supplies Item 15"/>
        <s v="Beverages Item 9"/>
        <s v="Snacks Item 33"/>
        <s v="Dairy Item 30"/>
        <s v="Bakery Item 35"/>
        <s v="Vegetables Item 41"/>
        <s v="Frozen Food Item 17"/>
        <s v="Beverages Item 14"/>
        <s v="Snacks Item 15"/>
        <s v="Dairy Item 37"/>
        <s v="Bakery Item 12"/>
        <s v="Vegetables Item 14"/>
        <s v="Frozen Food Item 1"/>
        <s v="Personal Care Item 27"/>
        <s v="Cleaning Supplies Item 16"/>
        <s v="Beverages Item 31"/>
        <s v="Snacks Item 5"/>
        <s v="Dairy Item 16"/>
        <s v="Bakery Item 28"/>
        <s v="Vegetables Item 1"/>
        <s v="Frozen Food Item 8"/>
        <s v="Personal Care Item 33"/>
        <s v="Cleaning Supplies Item 23"/>
        <s v="Beverages Item 6"/>
        <s v="Snacks Item 1"/>
        <s v="Dairy Item 43"/>
        <s v="Bakery Item 41"/>
        <s v="Vegetables Item 29"/>
        <s v="Frozen Food Item 18"/>
        <s v="Personal Care Item 1"/>
        <s v="Cleaning Supplies Item 21"/>
        <s v="Beverages Item 7"/>
        <s v="Snacks Item 28"/>
        <s v="Dairy Item 9"/>
        <s v="Bakery Item 9"/>
        <s v="Vegetables Item 23"/>
        <s v="Frozen Food Item 5"/>
        <s v="Beverages Item 47"/>
        <s v="Snacks Item 34"/>
        <s v="Dairy Item 12"/>
        <s v="Bakery Item 48"/>
        <s v="Vegetables Item 25"/>
        <s v="Frozen Food Item 35"/>
        <s v="Personal Care Item 12"/>
        <s v="Cleaning Supplies Item 8"/>
        <s v="Beverages Item 42"/>
        <s v="Snacks Item 12"/>
        <s v="Dairy Item 5"/>
        <s v="Bakery Item 34"/>
        <s v="Vegetables Item 47"/>
        <s v="Frozen Food Item 33"/>
        <s v="Personal Care Item 25"/>
        <s v="Cleaning Supplies Item 5"/>
        <s v="Beverages Item 18"/>
        <s v="Snacks Item 36"/>
        <s v="Dairy Item 13"/>
        <s v="Bakery Item 23"/>
        <s v="Vegetables Item 8"/>
        <s v="Frozen Food Item 2"/>
        <s v="Personal Care Item 30"/>
        <s v="Cleaning Supplies Item 1"/>
        <s v="Beverages Item 19"/>
        <s v="Snacks Item 39"/>
        <s v="Dairy Item 14"/>
        <s v="Bakery Item 27"/>
        <s v="Vegetables Item 39"/>
        <s v="Frozen Food Item 14"/>
        <s v="Personal Care Item 10"/>
        <s v="Cleaning Supplies Item 19"/>
        <s v="Beverages Item 11"/>
        <s v="Snacks Item 7"/>
        <s v="Dairy Item 20"/>
        <s v="Bakery Item 32"/>
        <s v="Vegetables Item 7"/>
        <s v="Frozen Food Item 37"/>
        <s v="Personal Care Item 6"/>
        <s v="Cleaning Supplies Item 14"/>
        <s v="Beverages Item 3"/>
        <s v="Snacks Item 43"/>
        <s v="Dairy Item 23"/>
        <s v="Bakery Item 15"/>
        <s v="Vegetables Item 45"/>
        <s v="Frozen Food Item 38"/>
        <s v="Personal Care Item 8"/>
        <s v="Cleaning Supplies Item 22"/>
        <s v="Beverages Item 32"/>
        <s v="Snacks Item 3"/>
        <s v="Dairy Item 38"/>
        <s v="Bakery Item 8"/>
        <s v="Vegetables Item 35"/>
        <s v="Frozen Food Item 10"/>
        <s v="Personal Care Item 29"/>
        <s v="Snacks Item 50"/>
        <s v="Dairy Item 31"/>
        <s v="Bakery Item 7"/>
        <s v="Vegetables Item 24"/>
        <s v="Frozen Food Item 20"/>
        <s v="Personal Care Item 32"/>
        <s v="Cleaning Supplies Item 24"/>
        <s v="Beverages Item 21"/>
        <s v="Snacks Item 40"/>
        <s v="Dairy Item 1"/>
        <s v="Bakery Item 19"/>
        <s v="Vegetables Item 20"/>
        <s v="Frozen Food Item 39"/>
        <s v="Personal Care Item 13"/>
        <s v="Cleaning Supplies Item 26"/>
        <s v="Beverages Item 39"/>
        <s v="Snacks Item 24"/>
        <s v="Dairy Item 35"/>
        <s v="Bakery Item 24"/>
        <s v="Vegetables Item 17"/>
        <s v="Frozen Food Item 13"/>
        <s v="Personal Care Item 17"/>
        <s v="Cleaning Supplies Item 17"/>
        <s v="Beverages Item 22"/>
        <s v="Snacks Item 18"/>
        <s v="Dairy Item 25"/>
        <s v="Bakery Item 42"/>
        <s v="Vegetables Item 28"/>
        <s v="Frozen Food Item 41"/>
        <s v="Personal Care Item 15"/>
        <s v="Cleaning Supplies Item 25"/>
        <s v="Beverages Item 28"/>
        <s v="Snacks Item 48"/>
        <s v="Dairy Item 18"/>
        <s v="Bakery Item 1"/>
        <s v="Vegetables Item 34"/>
        <s v="Frozen Food Item 4"/>
        <s v="Personal Care Item 23"/>
        <s v="Beverages Item 44"/>
        <s v="Snacks Item 38"/>
        <s v="Bakery Item 50"/>
        <s v="Vegetables Item 36"/>
        <s v="Frozen Food Item 28"/>
        <s v="Personal Care Item 4"/>
        <s v="Cleaning Supplies Item 27"/>
        <s v="Beverages Item 34"/>
        <s v="Snacks Item 35"/>
        <s v="Dairy Item 3"/>
        <s v="Bakery Item 40"/>
        <s v="Vegetables Item 33"/>
        <s v="Frozen Food Item 12"/>
        <s v="Personal Care Item 22"/>
        <s v="Beverages Item 43"/>
        <s v="Snacks Item 16"/>
        <s v="Dairy Item 21"/>
        <s v="Bakery Item 14"/>
        <s v="Vegetables Item 32"/>
        <s v="Frozen Food Item 16"/>
      </sharedItems>
    </cacheField>
    <cacheField name="Category" numFmtId="0">
      <sharedItems count="8">
        <s v="Beverages"/>
        <s v="Bakery"/>
        <s v="Dairy"/>
        <s v="Snacks"/>
        <s v="Vegetables"/>
        <s v="Frozen Food"/>
        <s v="Personal Care"/>
        <s v="Cleaning Supplies"/>
      </sharedItems>
    </cacheField>
    <cacheField name="Quantity" numFmtId="0">
      <sharedItems containsSemiMixedTypes="0" containsString="0" containsNumber="1" containsInteger="1" minValue="1" maxValue="5"/>
    </cacheField>
    <cacheField name="Unit Price" numFmtId="168">
      <sharedItems containsSemiMixedTypes="0" containsString="0" containsNumber="1" minValue="28.5" maxValue="490"/>
    </cacheField>
    <cacheField name="Gross Total" numFmtId="0">
      <sharedItems containsSemiMixedTypes="0" containsString="0" containsNumber="1" minValue="28.5" maxValue="1490"/>
    </cacheField>
    <cacheField name="Discount" numFmtId="0">
      <sharedItems containsSemiMixedTypes="0" containsString="0" containsNumber="1" minValue="1.43" maxValue="74.5"/>
    </cacheField>
    <cacheField name="Final Price" numFmtId="167">
      <sharedItems containsSemiMixedTypes="0" containsString="0" containsNumber="1" minValue="27.07" maxValue="1415.5"/>
    </cacheField>
    <cacheField name="Payment Method" numFmtId="0">
      <sharedItems count="4">
        <s v="Cash"/>
        <s v="UPI"/>
        <s v="Debit Card"/>
        <s v="Credit Card"/>
      </sharedItems>
    </cacheField>
    <cacheField name="City" numFmtId="0">
      <sharedItems count="6">
        <s v="Bangalore"/>
        <s v="Delhi"/>
        <s v="Mumbai"/>
        <s v="Chennai"/>
        <s v="Hyderabad"/>
        <s v="Kolkata"/>
      </sharedItems>
    </cacheField>
    <cacheField name="Days (Date)" numFmtId="0" databaseField="0">
      <fieldGroup base="1">
        <rangePr groupBy="days" startDate="2024-01-03T00:00:00" endDate="2025-01-01T00:00:00"/>
        <groupItems count="368">
          <s v="&lt;03-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Date)" numFmtId="0" databaseField="0">
      <fieldGroup base="1">
        <rangePr groupBy="months" startDate="2024-01-03T00:00:00" endDate="2025-01-01T00:00:00"/>
        <groupItems count="14">
          <s v="&lt;03-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951156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x v="0"/>
    <x v="0"/>
    <x v="0"/>
    <n v="2"/>
    <n v="145.5"/>
    <n v="291"/>
    <n v="29.1"/>
    <n v="261.89999999999998"/>
    <x v="0"/>
    <x v="0"/>
  </r>
  <r>
    <n v="2"/>
    <x v="1"/>
    <x v="1"/>
    <x v="1"/>
    <n v="1"/>
    <n v="89"/>
    <n v="89"/>
    <n v="8.9"/>
    <n v="80.099999999999994"/>
    <x v="1"/>
    <x v="1"/>
  </r>
  <r>
    <n v="3"/>
    <x v="2"/>
    <x v="2"/>
    <x v="2"/>
    <n v="4"/>
    <n v="52"/>
    <n v="208"/>
    <n v="5.2"/>
    <n v="202.8"/>
    <x v="2"/>
    <x v="2"/>
  </r>
  <r>
    <n v="4"/>
    <x v="3"/>
    <x v="3"/>
    <x v="3"/>
    <n v="3"/>
    <n v="110.75"/>
    <n v="332.25"/>
    <n v="33.22"/>
    <n v="299.02999999999997"/>
    <x v="3"/>
    <x v="3"/>
  </r>
  <r>
    <n v="5"/>
    <x v="4"/>
    <x v="4"/>
    <x v="4"/>
    <n v="2"/>
    <n v="38"/>
    <n v="76"/>
    <n v="3.8"/>
    <n v="72.2"/>
    <x v="0"/>
    <x v="4"/>
  </r>
  <r>
    <n v="6"/>
    <x v="5"/>
    <x v="5"/>
    <x v="5"/>
    <n v="1"/>
    <n v="320.5"/>
    <n v="320.5"/>
    <n v="16.03"/>
    <n v="304.47000000000003"/>
    <x v="1"/>
    <x v="5"/>
  </r>
  <r>
    <n v="7"/>
    <x v="6"/>
    <x v="6"/>
    <x v="6"/>
    <n v="3"/>
    <n v="199.9"/>
    <n v="599.70000000000005"/>
    <n v="29.99"/>
    <n v="569.71"/>
    <x v="3"/>
    <x v="0"/>
  </r>
  <r>
    <n v="8"/>
    <x v="7"/>
    <x v="7"/>
    <x v="3"/>
    <n v="2"/>
    <n v="65.5"/>
    <n v="131"/>
    <n v="6.55"/>
    <n v="124.45"/>
    <x v="0"/>
    <x v="1"/>
  </r>
  <r>
    <n v="9"/>
    <x v="8"/>
    <x v="8"/>
    <x v="2"/>
    <n v="1"/>
    <n v="120"/>
    <n v="120"/>
    <n v="6"/>
    <n v="114"/>
    <x v="2"/>
    <x v="2"/>
  </r>
  <r>
    <n v="10"/>
    <x v="9"/>
    <x v="9"/>
    <x v="1"/>
    <n v="5"/>
    <n v="45"/>
    <n v="225"/>
    <n v="11.25"/>
    <n v="213.75"/>
    <x v="1"/>
    <x v="3"/>
  </r>
  <r>
    <n v="11"/>
    <x v="10"/>
    <x v="10"/>
    <x v="0"/>
    <n v="3"/>
    <n v="98.75"/>
    <n v="296.25"/>
    <n v="14.81"/>
    <n v="281.44"/>
    <x v="3"/>
    <x v="5"/>
  </r>
  <r>
    <n v="12"/>
    <x v="11"/>
    <x v="11"/>
    <x v="4"/>
    <n v="2"/>
    <n v="42.5"/>
    <n v="85"/>
    <n v="4.25"/>
    <n v="80.75"/>
    <x v="0"/>
    <x v="4"/>
  </r>
  <r>
    <n v="13"/>
    <x v="12"/>
    <x v="12"/>
    <x v="7"/>
    <n v="1"/>
    <n v="210"/>
    <n v="210"/>
    <n v="10.5"/>
    <n v="199.5"/>
    <x v="2"/>
    <x v="0"/>
  </r>
  <r>
    <n v="14"/>
    <x v="13"/>
    <x v="13"/>
    <x v="3"/>
    <n v="4"/>
    <n v="88"/>
    <n v="352"/>
    <n v="8.8000000000000007"/>
    <n v="343.2"/>
    <x v="0"/>
    <x v="2"/>
  </r>
  <r>
    <n v="15"/>
    <x v="14"/>
    <x v="14"/>
    <x v="5"/>
    <n v="2"/>
    <n v="245.5"/>
    <n v="491"/>
    <n v="12.27"/>
    <n v="478.73"/>
    <x v="1"/>
    <x v="5"/>
  </r>
  <r>
    <n v="16"/>
    <x v="15"/>
    <x v="15"/>
    <x v="0"/>
    <n v="1"/>
    <n v="155"/>
    <n v="155"/>
    <n v="7.75"/>
    <n v="147.25"/>
    <x v="3"/>
    <x v="1"/>
  </r>
  <r>
    <n v="17"/>
    <x v="16"/>
    <x v="16"/>
    <x v="2"/>
    <n v="3"/>
    <n v="72"/>
    <n v="216"/>
    <n v="5.4"/>
    <n v="210.6"/>
    <x v="0"/>
    <x v="3"/>
  </r>
  <r>
    <n v="18"/>
    <x v="17"/>
    <x v="17"/>
    <x v="1"/>
    <n v="2"/>
    <n v="92"/>
    <n v="184"/>
    <n v="9.1999999999999993"/>
    <n v="174.8"/>
    <x v="2"/>
    <x v="4"/>
  </r>
  <r>
    <n v="19"/>
    <x v="18"/>
    <x v="18"/>
    <x v="6"/>
    <n v="1"/>
    <n v="350"/>
    <n v="350"/>
    <n v="17.5"/>
    <n v="332.5"/>
    <x v="1"/>
    <x v="0"/>
  </r>
  <r>
    <n v="20"/>
    <x v="19"/>
    <x v="19"/>
    <x v="3"/>
    <n v="2"/>
    <n v="75"/>
    <n v="150"/>
    <n v="3.75"/>
    <n v="146.25"/>
    <x v="0"/>
    <x v="1"/>
  </r>
  <r>
    <n v="21"/>
    <x v="20"/>
    <x v="20"/>
    <x v="0"/>
    <n v="5"/>
    <n v="60"/>
    <n v="300"/>
    <n v="7.5"/>
    <n v="292.5"/>
    <x v="3"/>
    <x v="2"/>
  </r>
  <r>
    <n v="22"/>
    <x v="21"/>
    <x v="21"/>
    <x v="2"/>
    <n v="2"/>
    <n v="95.5"/>
    <n v="191"/>
    <n v="4.78"/>
    <n v="186.22"/>
    <x v="1"/>
    <x v="3"/>
  </r>
  <r>
    <n v="23"/>
    <x v="22"/>
    <x v="22"/>
    <x v="4"/>
    <n v="3"/>
    <n v="40"/>
    <n v="120"/>
    <n v="6"/>
    <n v="114"/>
    <x v="0"/>
    <x v="4"/>
  </r>
  <r>
    <n v="24"/>
    <x v="23"/>
    <x v="23"/>
    <x v="5"/>
    <n v="1"/>
    <n v="410"/>
    <n v="410"/>
    <n v="20.5"/>
    <n v="389.5"/>
    <x v="3"/>
    <x v="5"/>
  </r>
  <r>
    <n v="25"/>
    <x v="24"/>
    <x v="24"/>
    <x v="1"/>
    <n v="4"/>
    <n v="55"/>
    <n v="220"/>
    <n v="11"/>
    <n v="209"/>
    <x v="2"/>
    <x v="0"/>
  </r>
  <r>
    <n v="26"/>
    <x v="25"/>
    <x v="25"/>
    <x v="0"/>
    <n v="3"/>
    <n v="105"/>
    <n v="315"/>
    <n v="15.75"/>
    <n v="299.25"/>
    <x v="0"/>
    <x v="1"/>
  </r>
  <r>
    <n v="27"/>
    <x v="26"/>
    <x v="26"/>
    <x v="3"/>
    <n v="1"/>
    <n v="52"/>
    <n v="52"/>
    <n v="2.6"/>
    <n v="49.4"/>
    <x v="1"/>
    <x v="2"/>
  </r>
  <r>
    <n v="28"/>
    <x v="27"/>
    <x v="27"/>
    <x v="2"/>
    <n v="2"/>
    <n v="88.5"/>
    <n v="177"/>
    <n v="8.85"/>
    <n v="168.15"/>
    <x v="3"/>
    <x v="4"/>
  </r>
  <r>
    <n v="29"/>
    <x v="28"/>
    <x v="28"/>
    <x v="4"/>
    <n v="1"/>
    <n v="30"/>
    <n v="30"/>
    <n v="1.5"/>
    <n v="28.5"/>
    <x v="2"/>
    <x v="0"/>
  </r>
  <r>
    <n v="30"/>
    <x v="29"/>
    <x v="29"/>
    <x v="5"/>
    <n v="4"/>
    <n v="310"/>
    <n v="1240"/>
    <n v="31"/>
    <n v="1209"/>
    <x v="0"/>
    <x v="5"/>
  </r>
  <r>
    <n v="31"/>
    <x v="30"/>
    <x v="30"/>
    <x v="1"/>
    <n v="2"/>
    <n v="67.5"/>
    <n v="135"/>
    <n v="6.75"/>
    <n v="128.25"/>
    <x v="1"/>
    <x v="3"/>
  </r>
  <r>
    <n v="32"/>
    <x v="31"/>
    <x v="31"/>
    <x v="6"/>
    <n v="3"/>
    <n v="220"/>
    <n v="660"/>
    <n v="33"/>
    <n v="627"/>
    <x v="3"/>
    <x v="1"/>
  </r>
  <r>
    <n v="33"/>
    <x v="32"/>
    <x v="32"/>
    <x v="3"/>
    <n v="2"/>
    <n v="79.989999999999995"/>
    <n v="159.97999999999999"/>
    <n v="7.99"/>
    <n v="151.99"/>
    <x v="2"/>
    <x v="2"/>
  </r>
  <r>
    <n v="34"/>
    <x v="33"/>
    <x v="33"/>
    <x v="7"/>
    <n v="1"/>
    <n v="250"/>
    <n v="250"/>
    <n v="12.5"/>
    <n v="237.5"/>
    <x v="0"/>
    <x v="0"/>
  </r>
  <r>
    <n v="35"/>
    <x v="34"/>
    <x v="34"/>
    <x v="0"/>
    <n v="2"/>
    <n v="145"/>
    <n v="290"/>
    <n v="14.5"/>
    <n v="275.5"/>
    <x v="1"/>
    <x v="4"/>
  </r>
  <r>
    <n v="36"/>
    <x v="35"/>
    <x v="35"/>
    <x v="2"/>
    <n v="4"/>
    <n v="49"/>
    <n v="196"/>
    <n v="9.8000000000000007"/>
    <n v="186.2"/>
    <x v="3"/>
    <x v="3"/>
  </r>
  <r>
    <n v="37"/>
    <x v="36"/>
    <x v="36"/>
    <x v="3"/>
    <n v="5"/>
    <n v="60"/>
    <n v="300"/>
    <n v="15"/>
    <n v="285"/>
    <x v="2"/>
    <x v="5"/>
  </r>
  <r>
    <n v="38"/>
    <x v="37"/>
    <x v="37"/>
    <x v="1"/>
    <n v="1"/>
    <n v="95"/>
    <n v="95"/>
    <n v="4.75"/>
    <n v="90.25"/>
    <x v="0"/>
    <x v="1"/>
  </r>
  <r>
    <n v="39"/>
    <x v="38"/>
    <x v="38"/>
    <x v="4"/>
    <n v="2"/>
    <n v="36"/>
    <n v="72"/>
    <n v="3.6"/>
    <n v="68.400000000000006"/>
    <x v="1"/>
    <x v="0"/>
  </r>
  <r>
    <n v="40"/>
    <x v="39"/>
    <x v="39"/>
    <x v="5"/>
    <n v="3"/>
    <n v="285"/>
    <n v="855"/>
    <n v="42.75"/>
    <n v="812.25"/>
    <x v="3"/>
    <x v="2"/>
  </r>
  <r>
    <n v="41"/>
    <x v="40"/>
    <x v="40"/>
    <x v="0"/>
    <n v="1"/>
    <n v="150"/>
    <n v="150"/>
    <n v="7.5"/>
    <n v="142.5"/>
    <x v="0"/>
    <x v="3"/>
  </r>
  <r>
    <n v="42"/>
    <x v="41"/>
    <x v="41"/>
    <x v="3"/>
    <n v="3"/>
    <n v="72.849999999999994"/>
    <n v="218.55"/>
    <n v="10.93"/>
    <n v="207.62"/>
    <x v="2"/>
    <x v="4"/>
  </r>
  <r>
    <n v="43"/>
    <x v="42"/>
    <x v="42"/>
    <x v="2"/>
    <n v="5"/>
    <n v="55"/>
    <n v="275"/>
    <n v="13.75"/>
    <n v="261.25"/>
    <x v="1"/>
    <x v="5"/>
  </r>
  <r>
    <n v="44"/>
    <x v="43"/>
    <x v="43"/>
    <x v="6"/>
    <n v="1"/>
    <n v="310"/>
    <n v="310"/>
    <n v="15.5"/>
    <n v="294.5"/>
    <x v="3"/>
    <x v="1"/>
  </r>
  <r>
    <n v="45"/>
    <x v="44"/>
    <x v="44"/>
    <x v="7"/>
    <n v="2"/>
    <n v="180"/>
    <n v="360"/>
    <n v="18"/>
    <n v="342"/>
    <x v="1"/>
    <x v="0"/>
  </r>
  <r>
    <n v="46"/>
    <x v="45"/>
    <x v="45"/>
    <x v="1"/>
    <n v="4"/>
    <n v="48"/>
    <n v="192"/>
    <n v="9.6"/>
    <n v="182.4"/>
    <x v="0"/>
    <x v="3"/>
  </r>
  <r>
    <n v="47"/>
    <x v="46"/>
    <x v="46"/>
    <x v="4"/>
    <n v="1"/>
    <n v="28.5"/>
    <n v="28.5"/>
    <n v="1.43"/>
    <n v="27.07"/>
    <x v="2"/>
    <x v="2"/>
  </r>
  <r>
    <n v="48"/>
    <x v="47"/>
    <x v="47"/>
    <x v="5"/>
    <n v="2"/>
    <n v="390"/>
    <n v="780"/>
    <n v="39"/>
    <n v="741"/>
    <x v="3"/>
    <x v="4"/>
  </r>
  <r>
    <n v="49"/>
    <x v="48"/>
    <x v="48"/>
    <x v="0"/>
    <n v="3"/>
    <n v="80.5"/>
    <n v="241.5"/>
    <n v="12.08"/>
    <n v="229.42"/>
    <x v="1"/>
    <x v="5"/>
  </r>
  <r>
    <n v="50"/>
    <x v="49"/>
    <x v="49"/>
    <x v="3"/>
    <n v="2"/>
    <n v="95"/>
    <n v="190"/>
    <n v="9.5"/>
    <n v="180.5"/>
    <x v="0"/>
    <x v="1"/>
  </r>
  <r>
    <n v="51"/>
    <x v="50"/>
    <x v="50"/>
    <x v="2"/>
    <n v="2"/>
    <n v="78"/>
    <n v="156"/>
    <n v="7.8"/>
    <n v="148.19999999999999"/>
    <x v="1"/>
    <x v="0"/>
  </r>
  <r>
    <n v="52"/>
    <x v="51"/>
    <x v="51"/>
    <x v="1"/>
    <n v="1"/>
    <n v="102.5"/>
    <n v="102.5"/>
    <n v="5.12"/>
    <n v="97.38"/>
    <x v="3"/>
    <x v="3"/>
  </r>
  <r>
    <n v="53"/>
    <x v="52"/>
    <x v="52"/>
    <x v="4"/>
    <n v="5"/>
    <n v="32"/>
    <n v="160"/>
    <n v="8"/>
    <n v="152"/>
    <x v="0"/>
    <x v="2"/>
  </r>
  <r>
    <n v="54"/>
    <x v="53"/>
    <x v="53"/>
    <x v="5"/>
    <n v="3"/>
    <n v="310"/>
    <n v="930"/>
    <n v="46.5"/>
    <n v="883.5"/>
    <x v="2"/>
    <x v="5"/>
  </r>
  <r>
    <n v="55"/>
    <x v="54"/>
    <x v="54"/>
    <x v="6"/>
    <n v="1"/>
    <n v="410"/>
    <n v="410"/>
    <n v="20.5"/>
    <n v="389.5"/>
    <x v="1"/>
    <x v="1"/>
  </r>
  <r>
    <n v="56"/>
    <x v="55"/>
    <x v="55"/>
    <x v="0"/>
    <n v="2"/>
    <n v="95"/>
    <n v="190"/>
    <n v="9.5"/>
    <n v="180.5"/>
    <x v="3"/>
    <x v="4"/>
  </r>
  <r>
    <n v="57"/>
    <x v="56"/>
    <x v="56"/>
    <x v="3"/>
    <n v="4"/>
    <n v="55"/>
    <n v="220"/>
    <n v="11"/>
    <n v="209"/>
    <x v="0"/>
    <x v="0"/>
  </r>
  <r>
    <n v="58"/>
    <x v="57"/>
    <x v="57"/>
    <x v="2"/>
    <n v="3"/>
    <n v="68"/>
    <n v="204"/>
    <n v="10.199999999999999"/>
    <n v="193.8"/>
    <x v="1"/>
    <x v="3"/>
  </r>
  <r>
    <n v="59"/>
    <x v="58"/>
    <x v="58"/>
    <x v="1"/>
    <n v="2"/>
    <n v="87"/>
    <n v="174"/>
    <n v="8.6999999999999993"/>
    <n v="165.3"/>
    <x v="2"/>
    <x v="5"/>
  </r>
  <r>
    <n v="60"/>
    <x v="59"/>
    <x v="59"/>
    <x v="4"/>
    <n v="1"/>
    <n v="29"/>
    <n v="29"/>
    <n v="1.45"/>
    <n v="27.55"/>
    <x v="3"/>
    <x v="1"/>
  </r>
  <r>
    <n v="61"/>
    <x v="60"/>
    <x v="60"/>
    <x v="5"/>
    <n v="5"/>
    <n v="240"/>
    <n v="1200"/>
    <n v="60"/>
    <n v="1140"/>
    <x v="0"/>
    <x v="2"/>
  </r>
  <r>
    <n v="62"/>
    <x v="61"/>
    <x v="61"/>
    <x v="0"/>
    <n v="3"/>
    <n v="120"/>
    <n v="360"/>
    <n v="18"/>
    <n v="342"/>
    <x v="1"/>
    <x v="4"/>
  </r>
  <r>
    <n v="63"/>
    <x v="62"/>
    <x v="62"/>
    <x v="3"/>
    <n v="2"/>
    <n v="96.5"/>
    <n v="193"/>
    <n v="9.65"/>
    <n v="183.35"/>
    <x v="2"/>
    <x v="0"/>
  </r>
  <r>
    <n v="64"/>
    <x v="63"/>
    <x v="63"/>
    <x v="6"/>
    <n v="1"/>
    <n v="350"/>
    <n v="350"/>
    <n v="17.5"/>
    <n v="332.5"/>
    <x v="3"/>
    <x v="3"/>
  </r>
  <r>
    <n v="65"/>
    <x v="64"/>
    <x v="64"/>
    <x v="7"/>
    <n v="4"/>
    <n v="160"/>
    <n v="640"/>
    <n v="32"/>
    <n v="608"/>
    <x v="0"/>
    <x v="5"/>
  </r>
  <r>
    <n v="66"/>
    <x v="65"/>
    <x v="65"/>
    <x v="1"/>
    <n v="2"/>
    <n v="78.5"/>
    <n v="157"/>
    <n v="7.85"/>
    <n v="149.15"/>
    <x v="1"/>
    <x v="1"/>
  </r>
  <r>
    <n v="67"/>
    <x v="66"/>
    <x v="66"/>
    <x v="4"/>
    <n v="3"/>
    <n v="34"/>
    <n v="102"/>
    <n v="5.0999999999999996"/>
    <n v="96.9"/>
    <x v="2"/>
    <x v="4"/>
  </r>
  <r>
    <n v="68"/>
    <x v="67"/>
    <x v="67"/>
    <x v="5"/>
    <n v="2"/>
    <n v="355"/>
    <n v="710"/>
    <n v="35.5"/>
    <n v="674.5"/>
    <x v="0"/>
    <x v="2"/>
  </r>
  <r>
    <n v="69"/>
    <x v="68"/>
    <x v="68"/>
    <x v="0"/>
    <n v="1"/>
    <n v="140"/>
    <n v="140"/>
    <n v="7"/>
    <n v="133"/>
    <x v="3"/>
    <x v="0"/>
  </r>
  <r>
    <n v="70"/>
    <x v="69"/>
    <x v="69"/>
    <x v="3"/>
    <n v="3"/>
    <n v="89.99"/>
    <n v="269.97000000000003"/>
    <n v="13.5"/>
    <n v="256.47000000000003"/>
    <x v="1"/>
    <x v="1"/>
  </r>
  <r>
    <n v="71"/>
    <x v="70"/>
    <x v="70"/>
    <x v="2"/>
    <n v="2"/>
    <n v="74"/>
    <n v="148"/>
    <n v="7.4"/>
    <n v="140.6"/>
    <x v="2"/>
    <x v="4"/>
  </r>
  <r>
    <n v="72"/>
    <x v="71"/>
    <x v="71"/>
    <x v="4"/>
    <n v="5"/>
    <n v="33"/>
    <n v="165"/>
    <n v="8.25"/>
    <n v="156.75"/>
    <x v="0"/>
    <x v="3"/>
  </r>
  <r>
    <n v="73"/>
    <x v="72"/>
    <x v="72"/>
    <x v="6"/>
    <n v="1"/>
    <n v="460"/>
    <n v="460"/>
    <n v="23"/>
    <n v="437"/>
    <x v="3"/>
    <x v="5"/>
  </r>
  <r>
    <n v="74"/>
    <x v="73"/>
    <x v="73"/>
    <x v="7"/>
    <n v="2"/>
    <n v="190"/>
    <n v="380"/>
    <n v="19"/>
    <n v="361"/>
    <x v="1"/>
    <x v="2"/>
  </r>
  <r>
    <n v="75"/>
    <x v="74"/>
    <x v="74"/>
    <x v="1"/>
    <n v="4"/>
    <n v="52"/>
    <n v="208"/>
    <n v="10.4"/>
    <n v="197.6"/>
    <x v="2"/>
    <x v="1"/>
  </r>
  <r>
    <n v="76"/>
    <x v="75"/>
    <x v="75"/>
    <x v="0"/>
    <n v="2"/>
    <n v="115"/>
    <n v="230"/>
    <n v="11.5"/>
    <n v="218.5"/>
    <x v="0"/>
    <x v="4"/>
  </r>
  <r>
    <n v="77"/>
    <x v="76"/>
    <x v="76"/>
    <x v="3"/>
    <n v="1"/>
    <n v="67"/>
    <n v="67"/>
    <n v="3.35"/>
    <n v="63.65"/>
    <x v="1"/>
    <x v="3"/>
  </r>
  <r>
    <n v="78"/>
    <x v="77"/>
    <x v="77"/>
    <x v="2"/>
    <n v="3"/>
    <n v="84.5"/>
    <n v="253.5"/>
    <n v="12.68"/>
    <n v="240.82"/>
    <x v="3"/>
    <x v="5"/>
  </r>
  <r>
    <n v="79"/>
    <x v="78"/>
    <x v="78"/>
    <x v="5"/>
    <n v="4"/>
    <n v="320"/>
    <n v="1280"/>
    <n v="64"/>
    <n v="1216"/>
    <x v="2"/>
    <x v="0"/>
  </r>
  <r>
    <n v="80"/>
    <x v="79"/>
    <x v="79"/>
    <x v="6"/>
    <n v="2"/>
    <n v="210"/>
    <n v="420"/>
    <n v="21"/>
    <n v="399"/>
    <x v="0"/>
    <x v="2"/>
  </r>
  <r>
    <n v="81"/>
    <x v="80"/>
    <x v="80"/>
    <x v="1"/>
    <n v="5"/>
    <n v="48"/>
    <n v="240"/>
    <n v="12"/>
    <n v="228"/>
    <x v="1"/>
    <x v="1"/>
  </r>
  <r>
    <n v="82"/>
    <x v="81"/>
    <x v="81"/>
    <x v="4"/>
    <n v="1"/>
    <n v="31"/>
    <n v="31"/>
    <n v="1.55"/>
    <n v="29.45"/>
    <x v="3"/>
    <x v="4"/>
  </r>
  <r>
    <n v="83"/>
    <x v="82"/>
    <x v="82"/>
    <x v="7"/>
    <n v="3"/>
    <n v="175"/>
    <n v="525"/>
    <n v="26.25"/>
    <n v="498.75"/>
    <x v="2"/>
    <x v="3"/>
  </r>
  <r>
    <n v="84"/>
    <x v="83"/>
    <x v="83"/>
    <x v="0"/>
    <n v="4"/>
    <n v="92"/>
    <n v="368"/>
    <n v="18.399999999999999"/>
    <n v="349.6"/>
    <x v="0"/>
    <x v="5"/>
  </r>
  <r>
    <n v="85"/>
    <x v="84"/>
    <x v="84"/>
    <x v="3"/>
    <n v="2"/>
    <n v="69.5"/>
    <n v="139"/>
    <n v="6.95"/>
    <n v="132.05000000000001"/>
    <x v="1"/>
    <x v="1"/>
  </r>
  <r>
    <n v="86"/>
    <x v="85"/>
    <x v="85"/>
    <x v="2"/>
    <n v="1"/>
    <n v="118"/>
    <n v="118"/>
    <n v="5.9"/>
    <n v="112.1"/>
    <x v="3"/>
    <x v="0"/>
  </r>
  <r>
    <n v="87"/>
    <x v="86"/>
    <x v="86"/>
    <x v="1"/>
    <n v="3"/>
    <n v="80"/>
    <n v="240"/>
    <n v="12"/>
    <n v="228"/>
    <x v="1"/>
    <x v="2"/>
  </r>
  <r>
    <n v="88"/>
    <x v="87"/>
    <x v="87"/>
    <x v="5"/>
    <n v="2"/>
    <n v="385"/>
    <n v="770"/>
    <n v="38.5"/>
    <n v="731.5"/>
    <x v="0"/>
    <x v="4"/>
  </r>
  <r>
    <n v="89"/>
    <x v="88"/>
    <x v="88"/>
    <x v="0"/>
    <n v="5"/>
    <n v="72.5"/>
    <n v="362.5"/>
    <n v="18.13"/>
    <n v="344.37"/>
    <x v="2"/>
    <x v="3"/>
  </r>
  <r>
    <n v="90"/>
    <x v="89"/>
    <x v="89"/>
    <x v="3"/>
    <n v="3"/>
    <n v="102"/>
    <n v="306"/>
    <n v="15.3"/>
    <n v="290.7"/>
    <x v="3"/>
    <x v="5"/>
  </r>
  <r>
    <n v="91"/>
    <x v="90"/>
    <x v="90"/>
    <x v="6"/>
    <n v="1"/>
    <n v="430"/>
    <n v="430"/>
    <n v="21.5"/>
    <n v="408.5"/>
    <x v="0"/>
    <x v="0"/>
  </r>
  <r>
    <n v="92"/>
    <x v="91"/>
    <x v="91"/>
    <x v="7"/>
    <n v="4"/>
    <n v="140"/>
    <n v="560"/>
    <n v="28"/>
    <n v="532"/>
    <x v="1"/>
    <x v="1"/>
  </r>
  <r>
    <n v="93"/>
    <x v="92"/>
    <x v="92"/>
    <x v="4"/>
    <n v="3"/>
    <n v="35.5"/>
    <n v="106.5"/>
    <n v="5.33"/>
    <n v="101.17"/>
    <x v="2"/>
    <x v="2"/>
  </r>
  <r>
    <n v="94"/>
    <x v="93"/>
    <x v="93"/>
    <x v="0"/>
    <n v="2"/>
    <n v="128"/>
    <n v="256"/>
    <n v="12.8"/>
    <n v="243.2"/>
    <x v="0"/>
    <x v="3"/>
  </r>
  <r>
    <n v="95"/>
    <x v="94"/>
    <x v="94"/>
    <x v="2"/>
    <n v="5"/>
    <n v="66"/>
    <n v="330"/>
    <n v="16.5"/>
    <n v="313.5"/>
    <x v="3"/>
    <x v="5"/>
  </r>
  <r>
    <n v="96"/>
    <x v="95"/>
    <x v="95"/>
    <x v="5"/>
    <n v="1"/>
    <n v="410"/>
    <n v="410"/>
    <n v="20.5"/>
    <n v="389.5"/>
    <x v="1"/>
    <x v="0"/>
  </r>
  <r>
    <n v="97"/>
    <x v="96"/>
    <x v="96"/>
    <x v="3"/>
    <n v="4"/>
    <n v="76.5"/>
    <n v="306"/>
    <n v="15.3"/>
    <n v="290.7"/>
    <x v="2"/>
    <x v="4"/>
  </r>
  <r>
    <n v="98"/>
    <x v="97"/>
    <x v="97"/>
    <x v="1"/>
    <n v="2"/>
    <n v="82"/>
    <n v="164"/>
    <n v="8.1999999999999993"/>
    <n v="155.80000000000001"/>
    <x v="0"/>
    <x v="1"/>
  </r>
  <r>
    <n v="99"/>
    <x v="98"/>
    <x v="98"/>
    <x v="7"/>
    <n v="1"/>
    <n v="235"/>
    <n v="235"/>
    <n v="11.75"/>
    <n v="223.25"/>
    <x v="1"/>
    <x v="2"/>
  </r>
  <r>
    <n v="100"/>
    <x v="99"/>
    <x v="99"/>
    <x v="4"/>
    <n v="5"/>
    <n v="29.5"/>
    <n v="147.5"/>
    <n v="7.38"/>
    <n v="140.12"/>
    <x v="3"/>
    <x v="3"/>
  </r>
  <r>
    <n v="101"/>
    <x v="100"/>
    <x v="100"/>
    <x v="0"/>
    <n v="3"/>
    <n v="112"/>
    <n v="336"/>
    <n v="16.8"/>
    <n v="319.2"/>
    <x v="0"/>
    <x v="5"/>
  </r>
  <r>
    <n v="102"/>
    <x v="101"/>
    <x v="101"/>
    <x v="3"/>
    <n v="2"/>
    <n v="88.5"/>
    <n v="177"/>
    <n v="8.85"/>
    <n v="168.15"/>
    <x v="1"/>
    <x v="4"/>
  </r>
  <r>
    <n v="103"/>
    <x v="102"/>
    <x v="102"/>
    <x v="2"/>
    <n v="1"/>
    <n v="64"/>
    <n v="64"/>
    <n v="3.2"/>
    <n v="60.8"/>
    <x v="3"/>
    <x v="1"/>
  </r>
  <r>
    <n v="104"/>
    <x v="103"/>
    <x v="103"/>
    <x v="1"/>
    <n v="5"/>
    <n v="49"/>
    <n v="245"/>
    <n v="12.25"/>
    <n v="232.75"/>
    <x v="2"/>
    <x v="0"/>
  </r>
  <r>
    <n v="105"/>
    <x v="104"/>
    <x v="104"/>
    <x v="4"/>
    <n v="4"/>
    <n v="32.5"/>
    <n v="130"/>
    <n v="6.5"/>
    <n v="123.5"/>
    <x v="0"/>
    <x v="3"/>
  </r>
  <r>
    <n v="106"/>
    <x v="105"/>
    <x v="105"/>
    <x v="5"/>
    <n v="2"/>
    <n v="299"/>
    <n v="598"/>
    <n v="29.9"/>
    <n v="568.1"/>
    <x v="1"/>
    <x v="2"/>
  </r>
  <r>
    <n v="107"/>
    <x v="106"/>
    <x v="106"/>
    <x v="6"/>
    <n v="1"/>
    <n v="455"/>
    <n v="455"/>
    <n v="22.75"/>
    <n v="432.25"/>
    <x v="3"/>
    <x v="5"/>
  </r>
  <r>
    <n v="108"/>
    <x v="107"/>
    <x v="107"/>
    <x v="7"/>
    <n v="1"/>
    <n v="260"/>
    <n v="260"/>
    <n v="13"/>
    <n v="247"/>
    <x v="0"/>
    <x v="1"/>
  </r>
  <r>
    <n v="109"/>
    <x v="108"/>
    <x v="108"/>
    <x v="0"/>
    <n v="2"/>
    <n v="105.5"/>
    <n v="211"/>
    <n v="10.55"/>
    <n v="200.45"/>
    <x v="2"/>
    <x v="4"/>
  </r>
  <r>
    <n v="110"/>
    <x v="9"/>
    <x v="109"/>
    <x v="3"/>
    <n v="3"/>
    <n v="99.5"/>
    <n v="298.5"/>
    <n v="14.93"/>
    <n v="283.57"/>
    <x v="1"/>
    <x v="3"/>
  </r>
  <r>
    <n v="111"/>
    <x v="109"/>
    <x v="110"/>
    <x v="2"/>
    <n v="5"/>
    <n v="60.5"/>
    <n v="302.5"/>
    <n v="15.13"/>
    <n v="287.37"/>
    <x v="3"/>
    <x v="0"/>
  </r>
  <r>
    <n v="112"/>
    <x v="110"/>
    <x v="111"/>
    <x v="1"/>
    <n v="2"/>
    <n v="78"/>
    <n v="156"/>
    <n v="7.8"/>
    <n v="148.19999999999999"/>
    <x v="0"/>
    <x v="2"/>
  </r>
  <r>
    <n v="113"/>
    <x v="111"/>
    <x v="112"/>
    <x v="4"/>
    <n v="3"/>
    <n v="36.5"/>
    <n v="109.5"/>
    <n v="5.48"/>
    <n v="104.02"/>
    <x v="2"/>
    <x v="5"/>
  </r>
  <r>
    <n v="114"/>
    <x v="112"/>
    <x v="113"/>
    <x v="5"/>
    <n v="4"/>
    <n v="325"/>
    <n v="1300"/>
    <n v="65"/>
    <n v="1235"/>
    <x v="3"/>
    <x v="1"/>
  </r>
  <r>
    <n v="115"/>
    <x v="113"/>
    <x v="114"/>
    <x v="6"/>
    <n v="2"/>
    <n v="390"/>
    <n v="780"/>
    <n v="39"/>
    <n v="741"/>
    <x v="1"/>
    <x v="4"/>
  </r>
  <r>
    <n v="116"/>
    <x v="114"/>
    <x v="115"/>
    <x v="7"/>
    <n v="5"/>
    <n v="155"/>
    <n v="775"/>
    <n v="38.75"/>
    <n v="736.25"/>
    <x v="0"/>
    <x v="3"/>
  </r>
  <r>
    <n v="117"/>
    <x v="115"/>
    <x v="116"/>
    <x v="0"/>
    <n v="1"/>
    <n v="130"/>
    <n v="130"/>
    <n v="6.5"/>
    <n v="123.5"/>
    <x v="1"/>
    <x v="2"/>
  </r>
  <r>
    <n v="118"/>
    <x v="116"/>
    <x v="117"/>
    <x v="3"/>
    <n v="5"/>
    <n v="55.5"/>
    <n v="277.5"/>
    <n v="13.88"/>
    <n v="263.62"/>
    <x v="3"/>
    <x v="0"/>
  </r>
  <r>
    <n v="119"/>
    <x v="117"/>
    <x v="118"/>
    <x v="2"/>
    <n v="2"/>
    <n v="79"/>
    <n v="158"/>
    <n v="7.9"/>
    <n v="150.1"/>
    <x v="2"/>
    <x v="1"/>
  </r>
  <r>
    <n v="120"/>
    <x v="118"/>
    <x v="119"/>
    <x v="1"/>
    <n v="3"/>
    <n v="102"/>
    <n v="306"/>
    <n v="15.3"/>
    <n v="290.7"/>
    <x v="0"/>
    <x v="5"/>
  </r>
  <r>
    <n v="121"/>
    <x v="119"/>
    <x v="120"/>
    <x v="4"/>
    <n v="4"/>
    <n v="30.5"/>
    <n v="122"/>
    <n v="6.1"/>
    <n v="115.9"/>
    <x v="1"/>
    <x v="3"/>
  </r>
  <r>
    <n v="122"/>
    <x v="120"/>
    <x v="121"/>
    <x v="5"/>
    <n v="1"/>
    <n v="378"/>
    <n v="378"/>
    <n v="18.899999999999999"/>
    <n v="359.1"/>
    <x v="3"/>
    <x v="4"/>
  </r>
  <r>
    <n v="123"/>
    <x v="121"/>
    <x v="122"/>
    <x v="0"/>
    <n v="2"/>
    <n v="142"/>
    <n v="284"/>
    <n v="14.2"/>
    <n v="269.8"/>
    <x v="0"/>
    <x v="2"/>
  </r>
  <r>
    <n v="124"/>
    <x v="122"/>
    <x v="123"/>
    <x v="3"/>
    <n v="1"/>
    <n v="71.5"/>
    <n v="71.5"/>
    <n v="3.58"/>
    <n v="67.92"/>
    <x v="2"/>
    <x v="0"/>
  </r>
  <r>
    <n v="125"/>
    <x v="123"/>
    <x v="124"/>
    <x v="2"/>
    <n v="3"/>
    <n v="82"/>
    <n v="246"/>
    <n v="12.3"/>
    <n v="233.7"/>
    <x v="1"/>
    <x v="1"/>
  </r>
  <r>
    <n v="126"/>
    <x v="124"/>
    <x v="125"/>
    <x v="6"/>
    <n v="4"/>
    <n v="210"/>
    <n v="840"/>
    <n v="42"/>
    <n v="798"/>
    <x v="3"/>
    <x v="4"/>
  </r>
  <r>
    <n v="127"/>
    <x v="125"/>
    <x v="126"/>
    <x v="1"/>
    <n v="4"/>
    <n v="63"/>
    <n v="252"/>
    <n v="12.6"/>
    <n v="239.4"/>
    <x v="0"/>
    <x v="5"/>
  </r>
  <r>
    <n v="128"/>
    <x v="126"/>
    <x v="127"/>
    <x v="4"/>
    <n v="2"/>
    <n v="35"/>
    <n v="70"/>
    <n v="3.5"/>
    <n v="66.5"/>
    <x v="1"/>
    <x v="0"/>
  </r>
  <r>
    <n v="129"/>
    <x v="127"/>
    <x v="128"/>
    <x v="5"/>
    <n v="3"/>
    <n v="350"/>
    <n v="1050"/>
    <n v="52.5"/>
    <n v="997.5"/>
    <x v="3"/>
    <x v="2"/>
  </r>
  <r>
    <n v="130"/>
    <x v="128"/>
    <x v="129"/>
    <x v="7"/>
    <n v="2"/>
    <n v="185"/>
    <n v="370"/>
    <n v="18.5"/>
    <n v="351.5"/>
    <x v="2"/>
    <x v="1"/>
  </r>
  <r>
    <n v="131"/>
    <x v="129"/>
    <x v="130"/>
    <x v="0"/>
    <n v="3"/>
    <n v="118"/>
    <n v="354"/>
    <n v="17.7"/>
    <n v="336.3"/>
    <x v="0"/>
    <x v="4"/>
  </r>
  <r>
    <n v="132"/>
    <x v="130"/>
    <x v="131"/>
    <x v="3"/>
    <n v="2"/>
    <n v="93.5"/>
    <n v="187"/>
    <n v="9.35"/>
    <n v="177.65"/>
    <x v="1"/>
    <x v="3"/>
  </r>
  <r>
    <n v="133"/>
    <x v="131"/>
    <x v="132"/>
    <x v="2"/>
    <n v="1"/>
    <n v="99"/>
    <n v="99"/>
    <n v="4.95"/>
    <n v="94.05"/>
    <x v="3"/>
    <x v="5"/>
  </r>
  <r>
    <n v="134"/>
    <x v="132"/>
    <x v="133"/>
    <x v="1"/>
    <n v="5"/>
    <n v="55.5"/>
    <n v="277.5"/>
    <n v="13.88"/>
    <n v="263.62"/>
    <x v="0"/>
    <x v="0"/>
  </r>
  <r>
    <n v="135"/>
    <x v="133"/>
    <x v="134"/>
    <x v="4"/>
    <n v="3"/>
    <n v="39"/>
    <n v="117"/>
    <n v="5.85"/>
    <n v="111.15"/>
    <x v="2"/>
    <x v="1"/>
  </r>
  <r>
    <n v="136"/>
    <x v="134"/>
    <x v="135"/>
    <x v="5"/>
    <n v="2"/>
    <n v="415"/>
    <n v="830"/>
    <n v="41.5"/>
    <n v="788.5"/>
    <x v="1"/>
    <x v="4"/>
  </r>
  <r>
    <n v="137"/>
    <x v="135"/>
    <x v="6"/>
    <x v="6"/>
    <n v="1"/>
    <n v="375"/>
    <n v="375"/>
    <n v="18.75"/>
    <n v="356.25"/>
    <x v="3"/>
    <x v="2"/>
  </r>
  <r>
    <n v="138"/>
    <x v="136"/>
    <x v="136"/>
    <x v="7"/>
    <n v="4"/>
    <n v="165"/>
    <n v="660"/>
    <n v="33"/>
    <n v="627"/>
    <x v="0"/>
    <x v="3"/>
  </r>
  <r>
    <n v="139"/>
    <x v="137"/>
    <x v="137"/>
    <x v="0"/>
    <n v="2"/>
    <n v="145.99"/>
    <n v="291.98"/>
    <n v="14.6"/>
    <n v="277.38"/>
    <x v="1"/>
    <x v="5"/>
  </r>
  <r>
    <n v="140"/>
    <x v="138"/>
    <x v="138"/>
    <x v="3"/>
    <n v="1"/>
    <n v="84"/>
    <n v="84"/>
    <n v="4.2"/>
    <n v="79.8"/>
    <x v="3"/>
    <x v="0"/>
  </r>
  <r>
    <n v="141"/>
    <x v="139"/>
    <x v="139"/>
    <x v="2"/>
    <n v="5"/>
    <n v="57.5"/>
    <n v="287.5"/>
    <n v="14.38"/>
    <n v="273.12"/>
    <x v="2"/>
    <x v="4"/>
  </r>
  <r>
    <n v="142"/>
    <x v="140"/>
    <x v="140"/>
    <x v="1"/>
    <n v="2"/>
    <n v="90"/>
    <n v="180"/>
    <n v="9"/>
    <n v="171"/>
    <x v="0"/>
    <x v="2"/>
  </r>
  <r>
    <n v="143"/>
    <x v="141"/>
    <x v="141"/>
    <x v="4"/>
    <n v="4"/>
    <n v="33.5"/>
    <n v="134"/>
    <n v="6.7"/>
    <n v="127.3"/>
    <x v="1"/>
    <x v="1"/>
  </r>
  <r>
    <n v="144"/>
    <x v="142"/>
    <x v="142"/>
    <x v="5"/>
    <n v="1"/>
    <n v="395"/>
    <n v="395"/>
    <n v="19.75"/>
    <n v="375.25"/>
    <x v="3"/>
    <x v="5"/>
  </r>
  <r>
    <n v="145"/>
    <x v="8"/>
    <x v="143"/>
    <x v="6"/>
    <n v="2"/>
    <n v="490"/>
    <n v="980"/>
    <n v="49"/>
    <n v="931"/>
    <x v="0"/>
    <x v="4"/>
  </r>
  <r>
    <n v="146"/>
    <x v="143"/>
    <x v="144"/>
    <x v="7"/>
    <n v="3"/>
    <n v="175"/>
    <n v="525"/>
    <n v="26.25"/>
    <n v="498.75"/>
    <x v="1"/>
    <x v="3"/>
  </r>
  <r>
    <n v="147"/>
    <x v="144"/>
    <x v="145"/>
    <x v="0"/>
    <n v="3"/>
    <n v="108"/>
    <n v="324"/>
    <n v="16.2"/>
    <n v="307.8"/>
    <x v="2"/>
    <x v="2"/>
  </r>
  <r>
    <n v="148"/>
    <x v="145"/>
    <x v="146"/>
    <x v="3"/>
    <n v="4"/>
    <n v="62.5"/>
    <n v="250"/>
    <n v="12.5"/>
    <n v="237.5"/>
    <x v="0"/>
    <x v="1"/>
  </r>
  <r>
    <n v="149"/>
    <x v="146"/>
    <x v="147"/>
    <x v="2"/>
    <n v="2"/>
    <n v="85"/>
    <n v="170"/>
    <n v="8.5"/>
    <n v="161.5"/>
    <x v="1"/>
    <x v="0"/>
  </r>
  <r>
    <n v="150"/>
    <x v="147"/>
    <x v="148"/>
    <x v="1"/>
    <n v="1"/>
    <n v="98"/>
    <n v="98"/>
    <n v="4.9000000000000004"/>
    <n v="93.1"/>
    <x v="3"/>
    <x v="4"/>
  </r>
  <r>
    <n v="151"/>
    <x v="148"/>
    <x v="149"/>
    <x v="4"/>
    <n v="3"/>
    <n v="37"/>
    <n v="111"/>
    <n v="5.55"/>
    <n v="105.45"/>
    <x v="2"/>
    <x v="5"/>
  </r>
  <r>
    <n v="152"/>
    <x v="149"/>
    <x v="150"/>
    <x v="5"/>
    <n v="4"/>
    <n v="365"/>
    <n v="1460"/>
    <n v="73"/>
    <n v="1387"/>
    <x v="0"/>
    <x v="1"/>
  </r>
  <r>
    <n v="153"/>
    <x v="150"/>
    <x v="151"/>
    <x v="0"/>
    <n v="2"/>
    <n v="75"/>
    <n v="150"/>
    <n v="7.5"/>
    <n v="142.5"/>
    <x v="1"/>
    <x v="2"/>
  </r>
  <r>
    <n v="154"/>
    <x v="151"/>
    <x v="152"/>
    <x v="3"/>
    <n v="1"/>
    <n v="69"/>
    <n v="69"/>
    <n v="3.45"/>
    <n v="65.55"/>
    <x v="3"/>
    <x v="4"/>
  </r>
  <r>
    <n v="155"/>
    <x v="152"/>
    <x v="153"/>
    <x v="2"/>
    <n v="5"/>
    <n v="58"/>
    <n v="290"/>
    <n v="14.5"/>
    <n v="275.5"/>
    <x v="2"/>
    <x v="3"/>
  </r>
  <r>
    <n v="156"/>
    <x v="153"/>
    <x v="154"/>
    <x v="1"/>
    <n v="3"/>
    <n v="85.5"/>
    <n v="256.5"/>
    <n v="12.83"/>
    <n v="243.67"/>
    <x v="0"/>
    <x v="5"/>
  </r>
  <r>
    <n v="157"/>
    <x v="154"/>
    <x v="155"/>
    <x v="4"/>
    <n v="2"/>
    <n v="36.5"/>
    <n v="73"/>
    <n v="3.65"/>
    <n v="69.349999999999994"/>
    <x v="1"/>
    <x v="0"/>
  </r>
  <r>
    <n v="158"/>
    <x v="155"/>
    <x v="156"/>
    <x v="5"/>
    <n v="1"/>
    <n v="410"/>
    <n v="410"/>
    <n v="20.5"/>
    <n v="389.5"/>
    <x v="3"/>
    <x v="2"/>
  </r>
  <r>
    <n v="159"/>
    <x v="156"/>
    <x v="157"/>
    <x v="6"/>
    <n v="4"/>
    <n v="290"/>
    <n v="1160"/>
    <n v="58"/>
    <n v="1102"/>
    <x v="2"/>
    <x v="1"/>
  </r>
  <r>
    <n v="160"/>
    <x v="157"/>
    <x v="158"/>
    <x v="7"/>
    <n v="5"/>
    <n v="145"/>
    <n v="725"/>
    <n v="36.25"/>
    <n v="688.75"/>
    <x v="1"/>
    <x v="4"/>
  </r>
  <r>
    <n v="161"/>
    <x v="47"/>
    <x v="159"/>
    <x v="0"/>
    <n v="2"/>
    <n v="115"/>
    <n v="230"/>
    <n v="11.5"/>
    <n v="218.5"/>
    <x v="0"/>
    <x v="3"/>
  </r>
  <r>
    <n v="162"/>
    <x v="158"/>
    <x v="160"/>
    <x v="3"/>
    <n v="3"/>
    <n v="85.99"/>
    <n v="257.97000000000003"/>
    <n v="12.9"/>
    <n v="245.07"/>
    <x v="3"/>
    <x v="5"/>
  </r>
  <r>
    <n v="163"/>
    <x v="159"/>
    <x v="161"/>
    <x v="2"/>
    <n v="1"/>
    <n v="102"/>
    <n v="102"/>
    <n v="5.0999999999999996"/>
    <n v="96.9"/>
    <x v="1"/>
    <x v="0"/>
  </r>
  <r>
    <n v="164"/>
    <x v="160"/>
    <x v="162"/>
    <x v="1"/>
    <n v="4"/>
    <n v="70"/>
    <n v="280"/>
    <n v="14"/>
    <n v="266"/>
    <x v="0"/>
    <x v="1"/>
  </r>
  <r>
    <n v="165"/>
    <x v="0"/>
    <x v="163"/>
    <x v="4"/>
    <n v="5"/>
    <n v="30.5"/>
    <n v="152.5"/>
    <n v="7.63"/>
    <n v="144.87"/>
    <x v="2"/>
    <x v="2"/>
  </r>
  <r>
    <n v="166"/>
    <x v="161"/>
    <x v="164"/>
    <x v="5"/>
    <n v="1"/>
    <n v="360"/>
    <n v="360"/>
    <n v="18"/>
    <n v="342"/>
    <x v="3"/>
    <x v="4"/>
  </r>
  <r>
    <n v="167"/>
    <x v="162"/>
    <x v="165"/>
    <x v="6"/>
    <n v="2"/>
    <n v="420"/>
    <n v="840"/>
    <n v="42"/>
    <n v="798"/>
    <x v="0"/>
    <x v="3"/>
  </r>
  <r>
    <n v="168"/>
    <x v="163"/>
    <x v="166"/>
    <x v="7"/>
    <n v="3"/>
    <n v="190"/>
    <n v="570"/>
    <n v="28.5"/>
    <n v="541.5"/>
    <x v="2"/>
    <x v="0"/>
  </r>
  <r>
    <n v="169"/>
    <x v="164"/>
    <x v="167"/>
    <x v="0"/>
    <n v="1"/>
    <n v="95"/>
    <n v="95"/>
    <n v="4.75"/>
    <n v="90.25"/>
    <x v="1"/>
    <x v="2"/>
  </r>
  <r>
    <n v="170"/>
    <x v="165"/>
    <x v="168"/>
    <x v="3"/>
    <n v="5"/>
    <n v="58.5"/>
    <n v="292.5"/>
    <n v="14.63"/>
    <n v="277.87"/>
    <x v="3"/>
    <x v="1"/>
  </r>
  <r>
    <n v="171"/>
    <x v="166"/>
    <x v="169"/>
    <x v="2"/>
    <n v="3"/>
    <n v="72"/>
    <n v="216"/>
    <n v="10.8"/>
    <n v="205.2"/>
    <x v="0"/>
    <x v="5"/>
  </r>
  <r>
    <n v="172"/>
    <x v="167"/>
    <x v="170"/>
    <x v="1"/>
    <n v="2"/>
    <n v="69"/>
    <n v="138"/>
    <n v="6.9"/>
    <n v="131.1"/>
    <x v="2"/>
    <x v="0"/>
  </r>
  <r>
    <n v="173"/>
    <x v="168"/>
    <x v="171"/>
    <x v="4"/>
    <n v="3"/>
    <n v="40"/>
    <n v="120"/>
    <n v="6"/>
    <n v="114"/>
    <x v="1"/>
    <x v="3"/>
  </r>
  <r>
    <n v="174"/>
    <x v="169"/>
    <x v="172"/>
    <x v="5"/>
    <n v="4"/>
    <n v="350"/>
    <n v="1400"/>
    <n v="70"/>
    <n v="1330"/>
    <x v="3"/>
    <x v="4"/>
  </r>
  <r>
    <n v="175"/>
    <x v="170"/>
    <x v="173"/>
    <x v="6"/>
    <n v="1"/>
    <n v="310"/>
    <n v="310"/>
    <n v="15.5"/>
    <n v="294.5"/>
    <x v="0"/>
    <x v="2"/>
  </r>
  <r>
    <n v="176"/>
    <x v="171"/>
    <x v="174"/>
    <x v="7"/>
    <n v="2"/>
    <n v="205"/>
    <n v="410"/>
    <n v="20.5"/>
    <n v="389.5"/>
    <x v="1"/>
    <x v="1"/>
  </r>
  <r>
    <n v="177"/>
    <x v="172"/>
    <x v="175"/>
    <x v="0"/>
    <n v="5"/>
    <n v="74"/>
    <n v="370"/>
    <n v="18.5"/>
    <n v="351.5"/>
    <x v="2"/>
    <x v="5"/>
  </r>
  <r>
    <n v="178"/>
    <x v="173"/>
    <x v="176"/>
    <x v="3"/>
    <n v="2"/>
    <n v="97"/>
    <n v="194"/>
    <n v="9.6999999999999993"/>
    <n v="184.3"/>
    <x v="0"/>
    <x v="0"/>
  </r>
  <r>
    <n v="179"/>
    <x v="174"/>
    <x v="177"/>
    <x v="2"/>
    <n v="1"/>
    <n v="105"/>
    <n v="105"/>
    <n v="5.25"/>
    <n v="99.75"/>
    <x v="3"/>
    <x v="4"/>
  </r>
  <r>
    <n v="180"/>
    <x v="175"/>
    <x v="178"/>
    <x v="1"/>
    <n v="3"/>
    <n v="78.5"/>
    <n v="235.5"/>
    <n v="11.78"/>
    <n v="223.72"/>
    <x v="1"/>
    <x v="3"/>
  </r>
  <r>
    <n v="181"/>
    <x v="176"/>
    <x v="179"/>
    <x v="4"/>
    <n v="4"/>
    <n v="39.5"/>
    <n v="158"/>
    <n v="7.9"/>
    <n v="150.1"/>
    <x v="0"/>
    <x v="2"/>
  </r>
  <r>
    <n v="182"/>
    <x v="177"/>
    <x v="180"/>
    <x v="5"/>
    <n v="1"/>
    <n v="325"/>
    <n v="325"/>
    <n v="16.25"/>
    <n v="308.75"/>
    <x v="2"/>
    <x v="5"/>
  </r>
  <r>
    <n v="183"/>
    <x v="178"/>
    <x v="181"/>
    <x v="0"/>
    <n v="2"/>
    <n v="99"/>
    <n v="198"/>
    <n v="9.9"/>
    <n v="188.1"/>
    <x v="3"/>
    <x v="1"/>
  </r>
  <r>
    <n v="184"/>
    <x v="179"/>
    <x v="182"/>
    <x v="3"/>
    <n v="4"/>
    <n v="65"/>
    <n v="260"/>
    <n v="13"/>
    <n v="247"/>
    <x v="0"/>
    <x v="0"/>
  </r>
  <r>
    <n v="185"/>
    <x v="180"/>
    <x v="183"/>
    <x v="2"/>
    <n v="2"/>
    <n v="90"/>
    <n v="180"/>
    <n v="9"/>
    <n v="171"/>
    <x v="1"/>
    <x v="4"/>
  </r>
  <r>
    <n v="186"/>
    <x v="181"/>
    <x v="184"/>
    <x v="1"/>
    <n v="1"/>
    <n v="94"/>
    <n v="94"/>
    <n v="4.7"/>
    <n v="89.3"/>
    <x v="2"/>
    <x v="3"/>
  </r>
  <r>
    <n v="187"/>
    <x v="182"/>
    <x v="185"/>
    <x v="4"/>
    <n v="3"/>
    <n v="37.5"/>
    <n v="112.5"/>
    <n v="5.63"/>
    <n v="106.87"/>
    <x v="3"/>
    <x v="5"/>
  </r>
  <r>
    <n v="188"/>
    <x v="183"/>
    <x v="186"/>
    <x v="5"/>
    <n v="2"/>
    <n v="310"/>
    <n v="620"/>
    <n v="31"/>
    <n v="589"/>
    <x v="0"/>
    <x v="0"/>
  </r>
  <r>
    <n v="189"/>
    <x v="24"/>
    <x v="187"/>
    <x v="6"/>
    <n v="1"/>
    <n v="450"/>
    <n v="450"/>
    <n v="22.5"/>
    <n v="427.5"/>
    <x v="1"/>
    <x v="2"/>
  </r>
  <r>
    <n v="190"/>
    <x v="184"/>
    <x v="188"/>
    <x v="7"/>
    <n v="5"/>
    <n v="150"/>
    <n v="750"/>
    <n v="37.5"/>
    <n v="712.5"/>
    <x v="2"/>
    <x v="1"/>
  </r>
  <r>
    <n v="191"/>
    <x v="185"/>
    <x v="189"/>
    <x v="0"/>
    <n v="3"/>
    <n v="125"/>
    <n v="375"/>
    <n v="18.75"/>
    <n v="356.25"/>
    <x v="3"/>
    <x v="4"/>
  </r>
  <r>
    <n v="192"/>
    <x v="186"/>
    <x v="190"/>
    <x v="3"/>
    <n v="1"/>
    <n v="79.5"/>
    <n v="79.5"/>
    <n v="3.98"/>
    <n v="75.52"/>
    <x v="0"/>
    <x v="5"/>
  </r>
  <r>
    <n v="193"/>
    <x v="187"/>
    <x v="191"/>
    <x v="2"/>
    <n v="4"/>
    <n v="65"/>
    <n v="260"/>
    <n v="13"/>
    <n v="247"/>
    <x v="1"/>
    <x v="0"/>
  </r>
  <r>
    <n v="194"/>
    <x v="188"/>
    <x v="192"/>
    <x v="1"/>
    <n v="3"/>
    <n v="88"/>
    <n v="264"/>
    <n v="13.2"/>
    <n v="250.8"/>
    <x v="2"/>
    <x v="1"/>
  </r>
  <r>
    <n v="195"/>
    <x v="189"/>
    <x v="193"/>
    <x v="4"/>
    <n v="2"/>
    <n v="31.5"/>
    <n v="63"/>
    <n v="3.15"/>
    <n v="59.85"/>
    <x v="3"/>
    <x v="4"/>
  </r>
  <r>
    <n v="196"/>
    <x v="190"/>
    <x v="194"/>
    <x v="5"/>
    <n v="3"/>
    <n v="340"/>
    <n v="1020"/>
    <n v="51"/>
    <n v="969"/>
    <x v="0"/>
    <x v="3"/>
  </r>
  <r>
    <n v="197"/>
    <x v="191"/>
    <x v="195"/>
    <x v="6"/>
    <n v="2"/>
    <n v="390"/>
    <n v="780"/>
    <n v="39"/>
    <n v="741"/>
    <x v="2"/>
    <x v="5"/>
  </r>
  <r>
    <n v="198"/>
    <x v="192"/>
    <x v="196"/>
    <x v="7"/>
    <n v="4"/>
    <n v="175"/>
    <n v="700"/>
    <n v="35"/>
    <n v="665"/>
    <x v="1"/>
    <x v="2"/>
  </r>
  <r>
    <n v="199"/>
    <x v="193"/>
    <x v="197"/>
    <x v="0"/>
    <n v="1"/>
    <n v="105"/>
    <n v="105"/>
    <n v="5.25"/>
    <n v="99.75"/>
    <x v="0"/>
    <x v="1"/>
  </r>
  <r>
    <n v="200"/>
    <x v="194"/>
    <x v="198"/>
    <x v="3"/>
    <n v="5"/>
    <n v="54.5"/>
    <n v="272.5"/>
    <n v="13.63"/>
    <n v="258.87"/>
    <x v="3"/>
    <x v="0"/>
  </r>
  <r>
    <n v="201"/>
    <x v="195"/>
    <x v="199"/>
    <x v="2"/>
    <n v="2"/>
    <n v="82"/>
    <n v="164"/>
    <n v="8.1999999999999993"/>
    <n v="155.80000000000001"/>
    <x v="2"/>
    <x v="4"/>
  </r>
  <r>
    <n v="202"/>
    <x v="196"/>
    <x v="200"/>
    <x v="1"/>
    <n v="1"/>
    <n v="96"/>
    <n v="96"/>
    <n v="4.8"/>
    <n v="91.2"/>
    <x v="0"/>
    <x v="5"/>
  </r>
  <r>
    <n v="203"/>
    <x v="197"/>
    <x v="201"/>
    <x v="4"/>
    <n v="4"/>
    <n v="33"/>
    <n v="132"/>
    <n v="6.6"/>
    <n v="125.4"/>
    <x v="1"/>
    <x v="1"/>
  </r>
  <r>
    <n v="204"/>
    <x v="198"/>
    <x v="202"/>
    <x v="5"/>
    <n v="3"/>
    <n v="345"/>
    <n v="1035"/>
    <n v="51.75"/>
    <n v="983.25"/>
    <x v="3"/>
    <x v="2"/>
  </r>
  <r>
    <n v="205"/>
    <x v="199"/>
    <x v="203"/>
    <x v="6"/>
    <n v="1"/>
    <n v="430"/>
    <n v="430"/>
    <n v="21.5"/>
    <n v="408.5"/>
    <x v="0"/>
    <x v="0"/>
  </r>
  <r>
    <n v="206"/>
    <x v="200"/>
    <x v="204"/>
    <x v="7"/>
    <n v="3"/>
    <n v="185"/>
    <n v="555"/>
    <n v="27.75"/>
    <n v="527.25"/>
    <x v="1"/>
    <x v="4"/>
  </r>
  <r>
    <n v="207"/>
    <x v="3"/>
    <x v="205"/>
    <x v="0"/>
    <n v="2"/>
    <n v="115.5"/>
    <n v="231"/>
    <n v="11.55"/>
    <n v="219.45"/>
    <x v="2"/>
    <x v="3"/>
  </r>
  <r>
    <n v="208"/>
    <x v="201"/>
    <x v="206"/>
    <x v="3"/>
    <n v="5"/>
    <n v="59"/>
    <n v="295"/>
    <n v="14.75"/>
    <n v="280.25"/>
    <x v="3"/>
    <x v="5"/>
  </r>
  <r>
    <n v="209"/>
    <x v="202"/>
    <x v="207"/>
    <x v="2"/>
    <n v="4"/>
    <n v="71"/>
    <n v="284"/>
    <n v="14.2"/>
    <n v="269.8"/>
    <x v="0"/>
    <x v="1"/>
  </r>
  <r>
    <n v="210"/>
    <x v="203"/>
    <x v="208"/>
    <x v="1"/>
    <n v="2"/>
    <n v="91"/>
    <n v="182"/>
    <n v="9.1"/>
    <n v="172.9"/>
    <x v="1"/>
    <x v="0"/>
  </r>
  <r>
    <n v="211"/>
    <x v="204"/>
    <x v="209"/>
    <x v="4"/>
    <n v="3"/>
    <n v="35"/>
    <n v="105"/>
    <n v="5.25"/>
    <n v="99.75"/>
    <x v="2"/>
    <x v="2"/>
  </r>
  <r>
    <n v="212"/>
    <x v="205"/>
    <x v="210"/>
    <x v="5"/>
    <n v="5"/>
    <n v="280"/>
    <n v="1400"/>
    <n v="70"/>
    <n v="1330"/>
    <x v="3"/>
    <x v="4"/>
  </r>
  <r>
    <n v="213"/>
    <x v="206"/>
    <x v="211"/>
    <x v="6"/>
    <n v="2"/>
    <n v="350"/>
    <n v="700"/>
    <n v="35"/>
    <n v="665"/>
    <x v="0"/>
    <x v="3"/>
  </r>
  <r>
    <n v="214"/>
    <x v="207"/>
    <x v="212"/>
    <x v="7"/>
    <n v="1"/>
    <n v="230"/>
    <n v="230"/>
    <n v="11.5"/>
    <n v="218.5"/>
    <x v="1"/>
    <x v="5"/>
  </r>
  <r>
    <n v="215"/>
    <x v="208"/>
    <x v="213"/>
    <x v="0"/>
    <n v="4"/>
    <n v="99"/>
    <n v="396"/>
    <n v="19.8"/>
    <n v="376.2"/>
    <x v="2"/>
    <x v="1"/>
  </r>
  <r>
    <n v="216"/>
    <x v="209"/>
    <x v="214"/>
    <x v="3"/>
    <n v="2"/>
    <n v="72"/>
    <n v="144"/>
    <n v="7.2"/>
    <n v="136.80000000000001"/>
    <x v="3"/>
    <x v="0"/>
  </r>
  <r>
    <n v="217"/>
    <x v="210"/>
    <x v="215"/>
    <x v="2"/>
    <n v="1"/>
    <n v="91"/>
    <n v="91"/>
    <n v="4.55"/>
    <n v="86.45"/>
    <x v="0"/>
    <x v="2"/>
  </r>
  <r>
    <n v="218"/>
    <x v="211"/>
    <x v="216"/>
    <x v="1"/>
    <n v="5"/>
    <n v="52.5"/>
    <n v="262.5"/>
    <n v="13.13"/>
    <n v="249.37"/>
    <x v="1"/>
    <x v="4"/>
  </r>
  <r>
    <n v="219"/>
    <x v="212"/>
    <x v="217"/>
    <x v="4"/>
    <n v="3"/>
    <n v="38"/>
    <n v="114"/>
    <n v="5.7"/>
    <n v="108.3"/>
    <x v="2"/>
    <x v="3"/>
  </r>
  <r>
    <n v="220"/>
    <x v="213"/>
    <x v="218"/>
    <x v="5"/>
    <n v="1"/>
    <n v="380"/>
    <n v="380"/>
    <n v="19"/>
    <n v="361"/>
    <x v="3"/>
    <x v="5"/>
  </r>
  <r>
    <n v="221"/>
    <x v="214"/>
    <x v="219"/>
    <x v="6"/>
    <n v="2"/>
    <n v="260"/>
    <n v="520"/>
    <n v="26"/>
    <n v="494"/>
    <x v="0"/>
    <x v="1"/>
  </r>
  <r>
    <n v="222"/>
    <x v="215"/>
    <x v="220"/>
    <x v="7"/>
    <n v="3"/>
    <n v="195"/>
    <n v="585"/>
    <n v="29.25"/>
    <n v="555.75"/>
    <x v="1"/>
    <x v="0"/>
  </r>
  <r>
    <n v="223"/>
    <x v="216"/>
    <x v="221"/>
    <x v="0"/>
    <n v="2"/>
    <n v="135"/>
    <n v="270"/>
    <n v="13.5"/>
    <n v="256.5"/>
    <x v="2"/>
    <x v="4"/>
  </r>
  <r>
    <n v="224"/>
    <x v="217"/>
    <x v="222"/>
    <x v="3"/>
    <n v="5"/>
    <n v="57"/>
    <n v="285"/>
    <n v="14.25"/>
    <n v="270.75"/>
    <x v="3"/>
    <x v="3"/>
  </r>
  <r>
    <n v="225"/>
    <x v="218"/>
    <x v="223"/>
    <x v="2"/>
    <n v="2"/>
    <n v="88"/>
    <n v="176"/>
    <n v="8.8000000000000007"/>
    <n v="167.2"/>
    <x v="0"/>
    <x v="5"/>
  </r>
  <r>
    <n v="226"/>
    <x v="219"/>
    <x v="224"/>
    <x v="1"/>
    <n v="3"/>
    <n v="82.5"/>
    <n v="247.5"/>
    <n v="12.38"/>
    <n v="235.12"/>
    <x v="1"/>
    <x v="1"/>
  </r>
  <r>
    <n v="227"/>
    <x v="220"/>
    <x v="225"/>
    <x v="4"/>
    <n v="1"/>
    <n v="29"/>
    <n v="29"/>
    <n v="1.45"/>
    <n v="27.55"/>
    <x v="2"/>
    <x v="2"/>
  </r>
  <r>
    <n v="228"/>
    <x v="221"/>
    <x v="226"/>
    <x v="5"/>
    <n v="4"/>
    <n v="310"/>
    <n v="1240"/>
    <n v="62"/>
    <n v="1178"/>
    <x v="3"/>
    <x v="0"/>
  </r>
  <r>
    <n v="229"/>
    <x v="222"/>
    <x v="227"/>
    <x v="6"/>
    <n v="1"/>
    <n v="310"/>
    <n v="310"/>
    <n v="15.5"/>
    <n v="294.5"/>
    <x v="0"/>
    <x v="4"/>
  </r>
  <r>
    <n v="230"/>
    <x v="223"/>
    <x v="228"/>
    <x v="7"/>
    <n v="2"/>
    <n v="155"/>
    <n v="310"/>
    <n v="15.5"/>
    <n v="294.5"/>
    <x v="1"/>
    <x v="3"/>
  </r>
  <r>
    <n v="231"/>
    <x v="224"/>
    <x v="229"/>
    <x v="0"/>
    <n v="3"/>
    <n v="115"/>
    <n v="345"/>
    <n v="17.25"/>
    <n v="327.75"/>
    <x v="2"/>
    <x v="5"/>
  </r>
  <r>
    <n v="232"/>
    <x v="225"/>
    <x v="230"/>
    <x v="3"/>
    <n v="2"/>
    <n v="89.99"/>
    <n v="179.98"/>
    <n v="9"/>
    <n v="170.98"/>
    <x v="3"/>
    <x v="1"/>
  </r>
  <r>
    <n v="233"/>
    <x v="226"/>
    <x v="231"/>
    <x v="2"/>
    <n v="1"/>
    <n v="77"/>
    <n v="77"/>
    <n v="3.85"/>
    <n v="73.150000000000006"/>
    <x v="0"/>
    <x v="0"/>
  </r>
  <r>
    <n v="234"/>
    <x v="227"/>
    <x v="232"/>
    <x v="1"/>
    <n v="4"/>
    <n v="48.5"/>
    <n v="194"/>
    <n v="9.6999999999999993"/>
    <n v="184.3"/>
    <x v="1"/>
    <x v="2"/>
  </r>
  <r>
    <n v="235"/>
    <x v="228"/>
    <x v="233"/>
    <x v="4"/>
    <n v="5"/>
    <n v="37"/>
    <n v="185"/>
    <n v="9.25"/>
    <n v="175.75"/>
    <x v="2"/>
    <x v="4"/>
  </r>
  <r>
    <n v="236"/>
    <x v="229"/>
    <x v="234"/>
    <x v="5"/>
    <n v="2"/>
    <n v="305"/>
    <n v="610"/>
    <n v="30.5"/>
    <n v="579.5"/>
    <x v="3"/>
    <x v="3"/>
  </r>
  <r>
    <n v="237"/>
    <x v="35"/>
    <x v="235"/>
    <x v="6"/>
    <n v="3"/>
    <n v="295"/>
    <n v="885"/>
    <n v="44.25"/>
    <n v="840.75"/>
    <x v="0"/>
    <x v="5"/>
  </r>
  <r>
    <n v="238"/>
    <x v="230"/>
    <x v="12"/>
    <x v="7"/>
    <n v="4"/>
    <n v="160"/>
    <n v="640"/>
    <n v="32"/>
    <n v="608"/>
    <x v="1"/>
    <x v="1"/>
  </r>
  <r>
    <n v="239"/>
    <x v="231"/>
    <x v="10"/>
    <x v="0"/>
    <n v="1"/>
    <n v="105"/>
    <n v="105"/>
    <n v="5.25"/>
    <n v="99.75"/>
    <x v="2"/>
    <x v="0"/>
  </r>
  <r>
    <n v="240"/>
    <x v="232"/>
    <x v="236"/>
    <x v="3"/>
    <n v="2"/>
    <n v="96.5"/>
    <n v="193"/>
    <n v="9.65"/>
    <n v="183.35"/>
    <x v="3"/>
    <x v="2"/>
  </r>
  <r>
    <n v="241"/>
    <x v="233"/>
    <x v="237"/>
    <x v="2"/>
    <n v="3"/>
    <n v="75.5"/>
    <n v="226.5"/>
    <n v="11.33"/>
    <n v="215.17"/>
    <x v="0"/>
    <x v="4"/>
  </r>
  <r>
    <n v="242"/>
    <x v="234"/>
    <x v="238"/>
    <x v="1"/>
    <n v="1"/>
    <n v="102"/>
    <n v="102"/>
    <n v="5.0999999999999996"/>
    <n v="96.9"/>
    <x v="1"/>
    <x v="3"/>
  </r>
  <r>
    <n v="243"/>
    <x v="16"/>
    <x v="239"/>
    <x v="4"/>
    <n v="4"/>
    <n v="34.5"/>
    <n v="138"/>
    <n v="6.9"/>
    <n v="131.1"/>
    <x v="2"/>
    <x v="5"/>
  </r>
  <r>
    <n v="244"/>
    <x v="235"/>
    <x v="240"/>
    <x v="5"/>
    <n v="5"/>
    <n v="298"/>
    <n v="1490"/>
    <n v="74.5"/>
    <n v="1415.5"/>
    <x v="3"/>
    <x v="1"/>
  </r>
  <r>
    <n v="245"/>
    <x v="236"/>
    <x v="241"/>
    <x v="6"/>
    <n v="2"/>
    <n v="445"/>
    <n v="890"/>
    <n v="44.5"/>
    <n v="845.5"/>
    <x v="0"/>
    <x v="0"/>
  </r>
  <r>
    <n v="246"/>
    <x v="237"/>
    <x v="242"/>
    <x v="7"/>
    <n v="1"/>
    <n v="205"/>
    <n v="205"/>
    <n v="10.25"/>
    <n v="194.75"/>
    <x v="1"/>
    <x v="2"/>
  </r>
  <r>
    <n v="247"/>
    <x v="238"/>
    <x v="243"/>
    <x v="0"/>
    <n v="3"/>
    <n v="132"/>
    <n v="396"/>
    <n v="19.8"/>
    <n v="376.2"/>
    <x v="2"/>
    <x v="4"/>
  </r>
  <r>
    <n v="248"/>
    <x v="239"/>
    <x v="244"/>
    <x v="3"/>
    <n v="4"/>
    <n v="64.5"/>
    <n v="258"/>
    <n v="12.9"/>
    <n v="245.1"/>
    <x v="3"/>
    <x v="3"/>
  </r>
  <r>
    <n v="249"/>
    <x v="240"/>
    <x v="245"/>
    <x v="2"/>
    <n v="2"/>
    <n v="91.5"/>
    <n v="183"/>
    <n v="9.15"/>
    <n v="173.85"/>
    <x v="0"/>
    <x v="5"/>
  </r>
  <r>
    <n v="250"/>
    <x v="241"/>
    <x v="246"/>
    <x v="1"/>
    <n v="1"/>
    <n v="99"/>
    <n v="99"/>
    <n v="4.95"/>
    <n v="94.05"/>
    <x v="1"/>
    <x v="0"/>
  </r>
  <r>
    <n v="251"/>
    <x v="89"/>
    <x v="247"/>
    <x v="4"/>
    <n v="2"/>
    <n v="33.5"/>
    <n v="67"/>
    <n v="3.35"/>
    <n v="63.65"/>
    <x v="2"/>
    <x v="2"/>
  </r>
  <r>
    <n v="252"/>
    <x v="242"/>
    <x v="248"/>
    <x v="5"/>
    <n v="3"/>
    <n v="310"/>
    <n v="930"/>
    <n v="46.5"/>
    <n v="883.5"/>
    <x v="3"/>
    <x v="4"/>
  </r>
  <r>
    <n v="253"/>
    <x v="243"/>
    <x v="249"/>
    <x v="6"/>
    <n v="4"/>
    <n v="285"/>
    <n v="1140"/>
    <n v="57"/>
    <n v="1083"/>
    <x v="0"/>
    <x v="3"/>
  </r>
  <r>
    <n v="254"/>
    <x v="244"/>
    <x v="250"/>
    <x v="7"/>
    <n v="1"/>
    <n v="245"/>
    <n v="245"/>
    <n v="12.25"/>
    <n v="232.75"/>
    <x v="1"/>
    <x v="5"/>
  </r>
  <r>
    <n v="255"/>
    <x v="245"/>
    <x v="251"/>
    <x v="0"/>
    <n v="5"/>
    <n v="99"/>
    <n v="495"/>
    <n v="24.75"/>
    <n v="470.25"/>
    <x v="2"/>
    <x v="1"/>
  </r>
  <r>
    <n v="256"/>
    <x v="246"/>
    <x v="252"/>
    <x v="3"/>
    <n v="3"/>
    <n v="83.5"/>
    <n v="250.5"/>
    <n v="12.53"/>
    <n v="237.97"/>
    <x v="3"/>
    <x v="0"/>
  </r>
  <r>
    <n v="257"/>
    <x v="27"/>
    <x v="253"/>
    <x v="2"/>
    <n v="1"/>
    <n v="120"/>
    <n v="120"/>
    <n v="6"/>
    <n v="114"/>
    <x v="0"/>
    <x v="2"/>
  </r>
  <r>
    <n v="258"/>
    <x v="247"/>
    <x v="254"/>
    <x v="1"/>
    <n v="2"/>
    <n v="92.5"/>
    <n v="185"/>
    <n v="9.25"/>
    <n v="175.75"/>
    <x v="1"/>
    <x v="4"/>
  </r>
  <r>
    <n v="259"/>
    <x v="248"/>
    <x v="255"/>
    <x v="4"/>
    <n v="4"/>
    <n v="35"/>
    <n v="140"/>
    <n v="7"/>
    <n v="133"/>
    <x v="3"/>
    <x v="3"/>
  </r>
  <r>
    <n v="260"/>
    <x v="249"/>
    <x v="256"/>
    <x v="5"/>
    <n v="1"/>
    <n v="330"/>
    <n v="330"/>
    <n v="16.5"/>
    <n v="313.5"/>
    <x v="2"/>
    <x v="5"/>
  </r>
  <r>
    <n v="261"/>
    <x v="250"/>
    <x v="257"/>
    <x v="6"/>
    <n v="3"/>
    <n v="315"/>
    <n v="945"/>
    <n v="47.25"/>
    <n v="897.75"/>
    <x v="0"/>
    <x v="1"/>
  </r>
  <r>
    <n v="262"/>
    <x v="251"/>
    <x v="258"/>
    <x v="7"/>
    <n v="5"/>
    <n v="165"/>
    <n v="825"/>
    <n v="41.25"/>
    <n v="783.75"/>
    <x v="1"/>
    <x v="0"/>
  </r>
  <r>
    <n v="263"/>
    <x v="252"/>
    <x v="259"/>
    <x v="0"/>
    <n v="2"/>
    <n v="110"/>
    <n v="220"/>
    <n v="11"/>
    <n v="209"/>
    <x v="3"/>
    <x v="2"/>
  </r>
  <r>
    <n v="264"/>
    <x v="253"/>
    <x v="260"/>
    <x v="3"/>
    <n v="4"/>
    <n v="77.5"/>
    <n v="310"/>
    <n v="15.5"/>
    <n v="294.5"/>
    <x v="2"/>
    <x v="4"/>
  </r>
  <r>
    <n v="265"/>
    <x v="254"/>
    <x v="261"/>
    <x v="2"/>
    <n v="1"/>
    <n v="85.5"/>
    <n v="85.5"/>
    <n v="4.28"/>
    <n v="81.22"/>
    <x v="0"/>
    <x v="3"/>
  </r>
  <r>
    <n v="266"/>
    <x v="255"/>
    <x v="262"/>
    <x v="1"/>
    <n v="5"/>
    <n v="52"/>
    <n v="260"/>
    <n v="13"/>
    <n v="247"/>
    <x v="1"/>
    <x v="5"/>
  </r>
  <r>
    <n v="267"/>
    <x v="256"/>
    <x v="263"/>
    <x v="4"/>
    <n v="2"/>
    <n v="31"/>
    <n v="62"/>
    <n v="3.1"/>
    <n v="58.9"/>
    <x v="2"/>
    <x v="1"/>
  </r>
  <r>
    <n v="268"/>
    <x v="257"/>
    <x v="264"/>
    <x v="5"/>
    <n v="3"/>
    <n v="305"/>
    <n v="915"/>
    <n v="45.75"/>
    <n v="869.25"/>
    <x v="3"/>
    <x v="0"/>
  </r>
  <r>
    <n v="269"/>
    <x v="258"/>
    <x v="265"/>
    <x v="6"/>
    <n v="2"/>
    <n v="310"/>
    <n v="620"/>
    <n v="31"/>
    <n v="589"/>
    <x v="0"/>
    <x v="2"/>
  </r>
  <r>
    <n v="270"/>
    <x v="259"/>
    <x v="266"/>
    <x v="7"/>
    <n v="4"/>
    <n v="230"/>
    <n v="920"/>
    <n v="46"/>
    <n v="874"/>
    <x v="1"/>
    <x v="4"/>
  </r>
  <r>
    <n v="271"/>
    <x v="260"/>
    <x v="267"/>
    <x v="0"/>
    <n v="1"/>
    <n v="105"/>
    <n v="105"/>
    <n v="5.25"/>
    <n v="99.75"/>
    <x v="2"/>
    <x v="3"/>
  </r>
  <r>
    <n v="272"/>
    <x v="261"/>
    <x v="268"/>
    <x v="3"/>
    <n v="3"/>
    <n v="92"/>
    <n v="276"/>
    <n v="13.8"/>
    <n v="262.2"/>
    <x v="3"/>
    <x v="5"/>
  </r>
  <r>
    <n v="273"/>
    <x v="262"/>
    <x v="269"/>
    <x v="2"/>
    <n v="2"/>
    <n v="69"/>
    <n v="138"/>
    <n v="6.9"/>
    <n v="131.1"/>
    <x v="0"/>
    <x v="1"/>
  </r>
  <r>
    <n v="274"/>
    <x v="263"/>
    <x v="270"/>
    <x v="1"/>
    <n v="5"/>
    <n v="48"/>
    <n v="240"/>
    <n v="12"/>
    <n v="228"/>
    <x v="1"/>
    <x v="0"/>
  </r>
  <r>
    <n v="275"/>
    <x v="264"/>
    <x v="271"/>
    <x v="4"/>
    <n v="1"/>
    <n v="32"/>
    <n v="32"/>
    <n v="1.6"/>
    <n v="30.4"/>
    <x v="2"/>
    <x v="2"/>
  </r>
  <r>
    <n v="276"/>
    <x v="265"/>
    <x v="272"/>
    <x v="5"/>
    <n v="2"/>
    <n v="400"/>
    <n v="800"/>
    <n v="40"/>
    <n v="760"/>
    <x v="3"/>
    <x v="4"/>
  </r>
  <r>
    <n v="277"/>
    <x v="266"/>
    <x v="273"/>
    <x v="6"/>
    <n v="1"/>
    <n v="480"/>
    <n v="480"/>
    <n v="24"/>
    <n v="456"/>
    <x v="0"/>
    <x v="3"/>
  </r>
  <r>
    <n v="278"/>
    <x v="267"/>
    <x v="64"/>
    <x v="7"/>
    <n v="5"/>
    <n v="180"/>
    <n v="900"/>
    <n v="45"/>
    <n v="855"/>
    <x v="1"/>
    <x v="5"/>
  </r>
  <r>
    <n v="279"/>
    <x v="268"/>
    <x v="274"/>
    <x v="0"/>
    <n v="3"/>
    <n v="118"/>
    <n v="354"/>
    <n v="17.7"/>
    <n v="336.3"/>
    <x v="2"/>
    <x v="1"/>
  </r>
  <r>
    <n v="280"/>
    <x v="269"/>
    <x v="275"/>
    <x v="3"/>
    <n v="2"/>
    <n v="89.5"/>
    <n v="179"/>
    <n v="8.9499999999999993"/>
    <n v="170.05"/>
    <x v="3"/>
    <x v="0"/>
  </r>
  <r>
    <n v="281"/>
    <x v="4"/>
    <x v="35"/>
    <x v="2"/>
    <n v="4"/>
    <n v="60"/>
    <n v="240"/>
    <n v="12"/>
    <n v="228"/>
    <x v="0"/>
    <x v="2"/>
  </r>
  <r>
    <n v="282"/>
    <x v="270"/>
    <x v="276"/>
    <x v="1"/>
    <n v="1"/>
    <n v="108"/>
    <n v="108"/>
    <n v="5.4"/>
    <n v="102.6"/>
    <x v="1"/>
    <x v="4"/>
  </r>
  <r>
    <n v="283"/>
    <x v="271"/>
    <x v="277"/>
    <x v="4"/>
    <n v="2"/>
    <n v="35.5"/>
    <n v="71"/>
    <n v="3.55"/>
    <n v="67.45"/>
    <x v="2"/>
    <x v="3"/>
  </r>
  <r>
    <n v="284"/>
    <x v="272"/>
    <x v="278"/>
    <x v="5"/>
    <n v="3"/>
    <n v="350"/>
    <n v="1050"/>
    <n v="52.5"/>
    <n v="997.5"/>
    <x v="3"/>
    <x v="5"/>
  </r>
  <r>
    <n v="285"/>
    <x v="273"/>
    <x v="279"/>
    <x v="6"/>
    <n v="4"/>
    <n v="320"/>
    <n v="1280"/>
    <n v="64"/>
    <n v="1216"/>
    <x v="0"/>
    <x v="1"/>
  </r>
  <r>
    <n v="286"/>
    <x v="274"/>
    <x v="280"/>
    <x v="7"/>
    <n v="2"/>
    <n v="165"/>
    <n v="330"/>
    <n v="16.5"/>
    <n v="313.5"/>
    <x v="1"/>
    <x v="0"/>
  </r>
  <r>
    <n v="287"/>
    <x v="275"/>
    <x v="281"/>
    <x v="0"/>
    <n v="1"/>
    <n v="120"/>
    <n v="120"/>
    <n v="6"/>
    <n v="114"/>
    <x v="2"/>
    <x v="2"/>
  </r>
  <r>
    <n v="288"/>
    <x v="78"/>
    <x v="282"/>
    <x v="3"/>
    <n v="5"/>
    <n v="60.5"/>
    <n v="302.5"/>
    <n v="15.13"/>
    <n v="287.37"/>
    <x v="3"/>
    <x v="4"/>
  </r>
  <r>
    <n v="289"/>
    <x v="276"/>
    <x v="283"/>
    <x v="2"/>
    <n v="3"/>
    <n v="72"/>
    <n v="216"/>
    <n v="10.8"/>
    <n v="205.2"/>
    <x v="0"/>
    <x v="3"/>
  </r>
  <r>
    <n v="290"/>
    <x v="277"/>
    <x v="284"/>
    <x v="1"/>
    <n v="2"/>
    <n v="85"/>
    <n v="170"/>
    <n v="8.5"/>
    <n v="161.5"/>
    <x v="1"/>
    <x v="5"/>
  </r>
  <r>
    <n v="291"/>
    <x v="278"/>
    <x v="285"/>
    <x v="4"/>
    <n v="1"/>
    <n v="31.5"/>
    <n v="31.5"/>
    <n v="1.58"/>
    <n v="29.93"/>
    <x v="2"/>
    <x v="1"/>
  </r>
  <r>
    <n v="292"/>
    <x v="279"/>
    <x v="286"/>
    <x v="5"/>
    <n v="4"/>
    <n v="315"/>
    <n v="1260"/>
    <n v="63"/>
    <n v="1197"/>
    <x v="3"/>
    <x v="0"/>
  </r>
  <r>
    <n v="293"/>
    <x v="280"/>
    <x v="287"/>
    <x v="6"/>
    <n v="2"/>
    <n v="460"/>
    <n v="920"/>
    <n v="46"/>
    <n v="874"/>
    <x v="0"/>
    <x v="2"/>
  </r>
  <r>
    <n v="294"/>
    <x v="281"/>
    <x v="44"/>
    <x v="7"/>
    <n v="5"/>
    <n v="150"/>
    <n v="750"/>
    <n v="37.5"/>
    <n v="712.5"/>
    <x v="1"/>
    <x v="4"/>
  </r>
  <r>
    <n v="295"/>
    <x v="282"/>
    <x v="288"/>
    <x v="0"/>
    <n v="2"/>
    <n v="105"/>
    <n v="210"/>
    <n v="10.5"/>
    <n v="199.5"/>
    <x v="2"/>
    <x v="3"/>
  </r>
  <r>
    <n v="296"/>
    <x v="283"/>
    <x v="289"/>
    <x v="3"/>
    <n v="4"/>
    <n v="58.5"/>
    <n v="234"/>
    <n v="11.7"/>
    <n v="222.3"/>
    <x v="3"/>
    <x v="5"/>
  </r>
  <r>
    <n v="297"/>
    <x v="284"/>
    <x v="290"/>
    <x v="2"/>
    <n v="2"/>
    <n v="82"/>
    <n v="164"/>
    <n v="8.1999999999999993"/>
    <n v="155.80000000000001"/>
    <x v="0"/>
    <x v="1"/>
  </r>
  <r>
    <n v="298"/>
    <x v="285"/>
    <x v="291"/>
    <x v="1"/>
    <n v="1"/>
    <n v="102"/>
    <n v="102"/>
    <n v="5.0999999999999996"/>
    <n v="96.9"/>
    <x v="1"/>
    <x v="0"/>
  </r>
  <r>
    <n v="299"/>
    <x v="286"/>
    <x v="292"/>
    <x v="4"/>
    <n v="5"/>
    <n v="29"/>
    <n v="145"/>
    <n v="7.25"/>
    <n v="137.75"/>
    <x v="2"/>
    <x v="2"/>
  </r>
  <r>
    <n v="300"/>
    <x v="287"/>
    <x v="293"/>
    <x v="5"/>
    <n v="2"/>
    <n v="340"/>
    <n v="680"/>
    <n v="34"/>
    <n v="646"/>
    <x v="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6D5551-CBE0-4BAA-9985-5CB7F1147B34}" name="PivotTable9"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0">
  <location ref="A85:B94" firstHeaderRow="1" firstDataRow="1" firstDataCol="1"/>
  <pivotFields count="13">
    <pivotField showAll="0"/>
    <pivotField numFmtId="14" showAll="0">
      <items count="289">
        <item x="126"/>
        <item x="283"/>
        <item x="74"/>
        <item x="217"/>
        <item x="40"/>
        <item x="239"/>
        <item x="14"/>
        <item x="194"/>
        <item x="103"/>
        <item x="272"/>
        <item x="50"/>
        <item x="183"/>
        <item x="249"/>
        <item x="149"/>
        <item x="32"/>
        <item x="205"/>
        <item x="86"/>
        <item x="171"/>
        <item x="229"/>
        <item x="2"/>
        <item x="62"/>
        <item x="160"/>
        <item x="261"/>
        <item x="138"/>
        <item x="98"/>
        <item x="114"/>
        <item x="154"/>
        <item x="67"/>
        <item x="243"/>
        <item x="187"/>
        <item x="79"/>
        <item x="131"/>
        <item x="44"/>
        <item x="222"/>
        <item x="108"/>
        <item x="29"/>
        <item x="233"/>
        <item x="176"/>
        <item x="8"/>
        <item x="164"/>
        <item x="55"/>
        <item x="199"/>
        <item x="21"/>
        <item x="254"/>
        <item x="119"/>
        <item x="276"/>
        <item x="210"/>
        <item x="91"/>
        <item x="266"/>
        <item x="12"/>
        <item x="172"/>
        <item x="115"/>
        <item x="75"/>
        <item x="195"/>
        <item x="139"/>
        <item x="63"/>
        <item x="240"/>
        <item x="273"/>
        <item x="0"/>
        <item x="35"/>
        <item x="262"/>
        <item x="104"/>
        <item x="127"/>
        <item x="24"/>
        <item x="206"/>
        <item x="250"/>
        <item x="87"/>
        <item x="218"/>
        <item x="150"/>
        <item x="284"/>
        <item x="51"/>
        <item x="99"/>
        <item x="135"/>
        <item x="59"/>
        <item x="191"/>
        <item x="258"/>
        <item x="27"/>
        <item x="202"/>
        <item x="146"/>
        <item x="83"/>
        <item x="4"/>
        <item x="180"/>
        <item x="123"/>
        <item x="236"/>
        <item x="100"/>
        <item x="47"/>
        <item x="168"/>
        <item x="214"/>
        <item x="71"/>
        <item x="280"/>
        <item x="111"/>
        <item x="95"/>
        <item x="226"/>
        <item x="18"/>
        <item x="38"/>
        <item x="120"/>
        <item x="277"/>
        <item x="15"/>
        <item x="200"/>
        <item x="211"/>
        <item x="143"/>
        <item x="234"/>
        <item x="177"/>
        <item x="56"/>
        <item x="80"/>
        <item x="30"/>
        <item x="255"/>
        <item x="155"/>
        <item x="92"/>
        <item x="244"/>
        <item x="223"/>
        <item x="41"/>
        <item x="188"/>
        <item x="68"/>
        <item x="165"/>
        <item x="132"/>
        <item x="9"/>
        <item x="267"/>
        <item x="285"/>
        <item x="33"/>
        <item x="173"/>
        <item x="219"/>
        <item x="274"/>
        <item x="140"/>
        <item x="230"/>
        <item x="52"/>
        <item x="161"/>
        <item x="22"/>
        <item x="116"/>
        <item x="128"/>
        <item x="184"/>
        <item x="241"/>
        <item x="76"/>
        <item x="45"/>
        <item x="7"/>
        <item x="196"/>
        <item x="105"/>
        <item x="263"/>
        <item x="151"/>
        <item x="251"/>
        <item x="88"/>
        <item x="207"/>
        <item x="64"/>
        <item x="37"/>
        <item x="1"/>
        <item x="227"/>
        <item x="96"/>
        <item x="112"/>
        <item x="169"/>
        <item x="270"/>
        <item x="72"/>
        <item x="237"/>
        <item x="147"/>
        <item x="215"/>
        <item x="25"/>
        <item x="281"/>
        <item x="136"/>
        <item x="101"/>
        <item x="13"/>
        <item x="181"/>
        <item x="158"/>
        <item x="247"/>
        <item x="192"/>
        <item x="60"/>
        <item x="203"/>
        <item x="124"/>
        <item x="84"/>
        <item x="259"/>
        <item x="224"/>
        <item x="69"/>
        <item x="189"/>
        <item x="133"/>
        <item x="245"/>
        <item x="81"/>
        <item x="16"/>
        <item x="156"/>
        <item x="109"/>
        <item x="278"/>
        <item x="212"/>
        <item x="144"/>
        <item x="93"/>
        <item x="3"/>
        <item x="178"/>
        <item x="121"/>
        <item x="256"/>
        <item x="57"/>
        <item x="268"/>
        <item x="31"/>
        <item x="166"/>
        <item x="42"/>
        <item x="231"/>
        <item x="162"/>
        <item x="89"/>
        <item x="129"/>
        <item x="252"/>
        <item x="65"/>
        <item x="10"/>
        <item x="106"/>
        <item x="208"/>
        <item x="39"/>
        <item x="185"/>
        <item x="286"/>
        <item x="197"/>
        <item x="152"/>
        <item x="28"/>
        <item x="275"/>
        <item x="53"/>
        <item x="264"/>
        <item x="117"/>
        <item x="48"/>
        <item x="220"/>
        <item x="77"/>
        <item x="23"/>
        <item x="141"/>
        <item x="174"/>
        <item x="113"/>
        <item x="46"/>
        <item x="19"/>
        <item x="182"/>
        <item x="137"/>
        <item x="228"/>
        <item x="248"/>
        <item x="85"/>
        <item x="282"/>
        <item x="260"/>
        <item x="5"/>
        <item x="193"/>
        <item x="61"/>
        <item x="216"/>
        <item x="97"/>
        <item x="159"/>
        <item x="34"/>
        <item x="271"/>
        <item x="170"/>
        <item x="125"/>
        <item x="204"/>
        <item x="238"/>
        <item x="102"/>
        <item x="73"/>
        <item x="148"/>
        <item x="94"/>
        <item x="269"/>
        <item x="6"/>
        <item x="201"/>
        <item x="157"/>
        <item x="257"/>
        <item x="122"/>
        <item x="179"/>
        <item x="43"/>
        <item x="246"/>
        <item x="167"/>
        <item x="110"/>
        <item x="17"/>
        <item x="235"/>
        <item x="134"/>
        <item x="58"/>
        <item x="82"/>
        <item x="225"/>
        <item x="70"/>
        <item x="213"/>
        <item x="279"/>
        <item x="145"/>
        <item x="26"/>
        <item x="190"/>
        <item x="221"/>
        <item x="54"/>
        <item x="107"/>
        <item x="36"/>
        <item x="186"/>
        <item x="253"/>
        <item x="153"/>
        <item x="78"/>
        <item x="130"/>
        <item x="287"/>
        <item x="242"/>
        <item x="66"/>
        <item x="209"/>
        <item x="20"/>
        <item x="163"/>
        <item x="90"/>
        <item x="232"/>
        <item x="11"/>
        <item x="142"/>
        <item x="175"/>
        <item x="198"/>
        <item x="49"/>
        <item x="265"/>
        <item x="118"/>
        <item t="default"/>
      </items>
    </pivotField>
    <pivotField showAll="0">
      <items count="295">
        <item x="270"/>
        <item x="97"/>
        <item x="1"/>
        <item x="154"/>
        <item x="111"/>
        <item x="291"/>
        <item x="224"/>
        <item x="86"/>
        <item x="17"/>
        <item x="246"/>
        <item x="133"/>
        <item x="126"/>
        <item x="74"/>
        <item x="200"/>
        <item x="254"/>
        <item x="30"/>
        <item x="208"/>
        <item x="162"/>
        <item x="24"/>
        <item x="103"/>
        <item x="58"/>
        <item x="216"/>
        <item x="65"/>
        <item x="192"/>
        <item x="148"/>
        <item x="9"/>
        <item x="284"/>
        <item x="170"/>
        <item x="262"/>
        <item x="37"/>
        <item x="140"/>
        <item x="51"/>
        <item x="184"/>
        <item x="119"/>
        <item x="80"/>
        <item x="276"/>
        <item x="45"/>
        <item x="238"/>
        <item x="232"/>
        <item x="178"/>
        <item x="61"/>
        <item x="20"/>
        <item x="213"/>
        <item x="40"/>
        <item x="88"/>
        <item x="151"/>
        <item x="130"/>
        <item x="68"/>
        <item x="197"/>
        <item x="205"/>
        <item x="48"/>
        <item x="100"/>
        <item x="243"/>
        <item x="259"/>
        <item x="75"/>
        <item x="0"/>
        <item x="267"/>
        <item x="83"/>
        <item x="221"/>
        <item x="159"/>
        <item x="229"/>
        <item x="108"/>
        <item x="281"/>
        <item x="25"/>
        <item x="116"/>
        <item x="251"/>
        <item x="137"/>
        <item x="15"/>
        <item x="189"/>
        <item x="288"/>
        <item x="274"/>
        <item x="55"/>
        <item x="122"/>
        <item x="181"/>
        <item x="93"/>
        <item x="34"/>
        <item x="167"/>
        <item x="175"/>
        <item x="10"/>
        <item x="145"/>
        <item x="204"/>
        <item x="136"/>
        <item x="129"/>
        <item x="12"/>
        <item x="107"/>
        <item x="220"/>
        <item x="144"/>
        <item x="158"/>
        <item x="258"/>
        <item x="64"/>
        <item x="212"/>
        <item x="33"/>
        <item x="91"/>
        <item x="174"/>
        <item x="228"/>
        <item x="166"/>
        <item x="242"/>
        <item x="266"/>
        <item x="250"/>
        <item x="280"/>
        <item x="73"/>
        <item x="98"/>
        <item x="196"/>
        <item x="115"/>
        <item x="44"/>
        <item x="188"/>
        <item x="82"/>
        <item x="245"/>
        <item x="35"/>
        <item x="124"/>
        <item x="183"/>
        <item x="199"/>
        <item x="207"/>
        <item x="57"/>
        <item x="161"/>
        <item x="8"/>
        <item x="269"/>
        <item x="102"/>
        <item x="21"/>
        <item x="215"/>
        <item x="290"/>
        <item x="50"/>
        <item x="223"/>
        <item x="85"/>
        <item x="261"/>
        <item x="77"/>
        <item x="16"/>
        <item x="283"/>
        <item x="147"/>
        <item x="237"/>
        <item x="118"/>
        <item x="27"/>
        <item x="253"/>
        <item x="132"/>
        <item x="153"/>
        <item x="231"/>
        <item x="94"/>
        <item x="110"/>
        <item x="42"/>
        <item x="169"/>
        <item x="191"/>
        <item x="2"/>
        <item x="70"/>
        <item x="139"/>
        <item x="177"/>
        <item x="156"/>
        <item x="234"/>
        <item x="105"/>
        <item x="286"/>
        <item x="256"/>
        <item x="210"/>
        <item x="23"/>
        <item x="293"/>
        <item x="150"/>
        <item x="172"/>
        <item x="29"/>
        <item x="202"/>
        <item x="240"/>
        <item x="67"/>
        <item x="128"/>
        <item x="95"/>
        <item x="60"/>
        <item x="278"/>
        <item x="142"/>
        <item x="14"/>
        <item x="113"/>
        <item x="47"/>
        <item x="194"/>
        <item x="186"/>
        <item x="121"/>
        <item x="218"/>
        <item x="226"/>
        <item x="248"/>
        <item x="272"/>
        <item x="78"/>
        <item x="264"/>
        <item x="135"/>
        <item x="5"/>
        <item x="39"/>
        <item x="180"/>
        <item x="53"/>
        <item x="164"/>
        <item x="87"/>
        <item x="173"/>
        <item x="211"/>
        <item x="63"/>
        <item x="187"/>
        <item x="249"/>
        <item x="18"/>
        <item x="265"/>
        <item x="43"/>
        <item x="257"/>
        <item x="125"/>
        <item x="114"/>
        <item x="79"/>
        <item x="54"/>
        <item x="287"/>
        <item x="273"/>
        <item x="72"/>
        <item x="195"/>
        <item x="157"/>
        <item x="90"/>
        <item x="235"/>
        <item x="203"/>
        <item x="106"/>
        <item x="241"/>
        <item x="165"/>
        <item x="279"/>
        <item x="143"/>
        <item x="31"/>
        <item x="219"/>
        <item x="227"/>
        <item x="6"/>
        <item x="168"/>
        <item x="131"/>
        <item x="84"/>
        <item x="190"/>
        <item x="56"/>
        <item x="101"/>
        <item x="152"/>
        <item x="289"/>
        <item x="41"/>
        <item x="260"/>
        <item x="3"/>
        <item x="123"/>
        <item x="62"/>
        <item x="19"/>
        <item x="252"/>
        <item x="36"/>
        <item x="109"/>
        <item x="96"/>
        <item x="176"/>
        <item x="230"/>
        <item x="32"/>
        <item x="7"/>
        <item x="69"/>
        <item x="146"/>
        <item x="182"/>
        <item x="282"/>
        <item x="198"/>
        <item x="275"/>
        <item x="206"/>
        <item x="244"/>
        <item x="89"/>
        <item x="138"/>
        <item x="222"/>
        <item x="13"/>
        <item x="117"/>
        <item x="268"/>
        <item x="49"/>
        <item x="160"/>
        <item x="236"/>
        <item x="76"/>
        <item x="214"/>
        <item x="26"/>
        <item x="163"/>
        <item x="66"/>
        <item x="11"/>
        <item x="155"/>
        <item x="81"/>
        <item x="255"/>
        <item x="104"/>
        <item x="46"/>
        <item x="4"/>
        <item x="247"/>
        <item x="28"/>
        <item x="179"/>
        <item x="239"/>
        <item x="185"/>
        <item x="120"/>
        <item x="52"/>
        <item x="263"/>
        <item x="171"/>
        <item x="38"/>
        <item x="99"/>
        <item x="292"/>
        <item x="285"/>
        <item x="271"/>
        <item x="233"/>
        <item x="277"/>
        <item x="59"/>
        <item x="209"/>
        <item x="149"/>
        <item x="112"/>
        <item x="71"/>
        <item x="225"/>
        <item x="193"/>
        <item x="134"/>
        <item x="141"/>
        <item x="22"/>
        <item x="92"/>
        <item x="217"/>
        <item x="201"/>
        <item x="127"/>
        <item t="default"/>
      </items>
    </pivotField>
    <pivotField axis="axisRow" showAll="0">
      <items count="9">
        <item x="1"/>
        <item x="0"/>
        <item x="7"/>
        <item x="2"/>
        <item x="5"/>
        <item x="6"/>
        <item x="3"/>
        <item x="4"/>
        <item t="default"/>
      </items>
    </pivotField>
    <pivotField showAll="0"/>
    <pivotField showAll="0"/>
    <pivotField showAll="0"/>
    <pivotField dataField="1" showAll="0"/>
    <pivotField numFmtId="164" showAll="0"/>
    <pivotField showAll="0">
      <items count="5">
        <item x="0"/>
        <item x="3"/>
        <item x="2"/>
        <item x="1"/>
        <item t="default"/>
      </items>
    </pivotField>
    <pivotField showAll="0">
      <items count="7">
        <item x="0"/>
        <item x="3"/>
        <item x="1"/>
        <item x="4"/>
        <item x="5"/>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9">
    <i>
      <x/>
    </i>
    <i>
      <x v="1"/>
    </i>
    <i>
      <x v="2"/>
    </i>
    <i>
      <x v="3"/>
    </i>
    <i>
      <x v="4"/>
    </i>
    <i>
      <x v="5"/>
    </i>
    <i>
      <x v="6"/>
    </i>
    <i>
      <x v="7"/>
    </i>
    <i t="grand">
      <x/>
    </i>
  </rowItems>
  <colItems count="1">
    <i/>
  </colItems>
  <dataFields count="1">
    <dataField name="Sum of Discount" fld="7" baseField="0" baseItem="0"/>
  </dataFields>
  <formats count="6">
    <format dxfId="468">
      <pivotArea outline="0" collapsedLevelsAreSubtotals="1" fieldPosition="0"/>
    </format>
    <format dxfId="469">
      <pivotArea type="all" dataOnly="0" outline="0" fieldPosition="0"/>
    </format>
    <format dxfId="470">
      <pivotArea outline="0" collapsedLevelsAreSubtotals="1" fieldPosition="0"/>
    </format>
    <format dxfId="471">
      <pivotArea field="9" type="button" dataOnly="0" labelOnly="1" outline="0"/>
    </format>
    <format dxfId="472">
      <pivotArea dataOnly="0" labelOnly="1" grandRow="1" outline="0" fieldPosition="0"/>
    </format>
    <format dxfId="473">
      <pivotArea dataOnly="0" labelOnly="1" outline="0" axis="axisValues" fieldPosition="0"/>
    </format>
  </formats>
  <chartFormats count="21">
    <chartFormat chart="91" format="0" series="1">
      <pivotArea type="data" outline="0" fieldPosition="0">
        <references count="1">
          <reference field="4294967294" count="1" selected="0">
            <x v="0"/>
          </reference>
        </references>
      </pivotArea>
    </chartFormat>
    <chartFormat chart="115" format="0" series="1">
      <pivotArea type="data" outline="0" fieldPosition="0">
        <references count="1">
          <reference field="4294967294" count="1" selected="0">
            <x v="0"/>
          </reference>
        </references>
      </pivotArea>
    </chartFormat>
    <chartFormat chart="115" format="1">
      <pivotArea type="data" outline="0" fieldPosition="0">
        <references count="2">
          <reference field="4294967294" count="1" selected="0">
            <x v="0"/>
          </reference>
          <reference field="3" count="1" selected="0">
            <x v="6"/>
          </reference>
        </references>
      </pivotArea>
    </chartFormat>
    <chartFormat chart="116" format="2" series="1">
      <pivotArea type="data" outline="0" fieldPosition="0">
        <references count="1">
          <reference field="4294967294" count="1" selected="0">
            <x v="0"/>
          </reference>
        </references>
      </pivotArea>
    </chartFormat>
    <chartFormat chart="116" format="3">
      <pivotArea type="data" outline="0" fieldPosition="0">
        <references count="2">
          <reference field="4294967294" count="1" selected="0">
            <x v="0"/>
          </reference>
          <reference field="3" count="1" selected="0">
            <x v="0"/>
          </reference>
        </references>
      </pivotArea>
    </chartFormat>
    <chartFormat chart="116" format="4">
      <pivotArea type="data" outline="0" fieldPosition="0">
        <references count="2">
          <reference field="4294967294" count="1" selected="0">
            <x v="0"/>
          </reference>
          <reference field="3" count="1" selected="0">
            <x v="1"/>
          </reference>
        </references>
      </pivotArea>
    </chartFormat>
    <chartFormat chart="116" format="5">
      <pivotArea type="data" outline="0" fieldPosition="0">
        <references count="2">
          <reference field="4294967294" count="1" selected="0">
            <x v="0"/>
          </reference>
          <reference field="3" count="1" selected="0">
            <x v="2"/>
          </reference>
        </references>
      </pivotArea>
    </chartFormat>
    <chartFormat chart="116" format="6">
      <pivotArea type="data" outline="0" fieldPosition="0">
        <references count="2">
          <reference field="4294967294" count="1" selected="0">
            <x v="0"/>
          </reference>
          <reference field="3" count="1" selected="0">
            <x v="3"/>
          </reference>
        </references>
      </pivotArea>
    </chartFormat>
    <chartFormat chart="116" format="7">
      <pivotArea type="data" outline="0" fieldPosition="0">
        <references count="2">
          <reference field="4294967294" count="1" selected="0">
            <x v="0"/>
          </reference>
          <reference field="3" count="1" selected="0">
            <x v="4"/>
          </reference>
        </references>
      </pivotArea>
    </chartFormat>
    <chartFormat chart="116" format="8">
      <pivotArea type="data" outline="0" fieldPosition="0">
        <references count="2">
          <reference field="4294967294" count="1" selected="0">
            <x v="0"/>
          </reference>
          <reference field="3" count="1" selected="0">
            <x v="5"/>
          </reference>
        </references>
      </pivotArea>
    </chartFormat>
    <chartFormat chart="116" format="9">
      <pivotArea type="data" outline="0" fieldPosition="0">
        <references count="2">
          <reference field="4294967294" count="1" selected="0">
            <x v="0"/>
          </reference>
          <reference field="3" count="1" selected="0">
            <x v="6"/>
          </reference>
        </references>
      </pivotArea>
    </chartFormat>
    <chartFormat chart="116" format="10">
      <pivotArea type="data" outline="0" fieldPosition="0">
        <references count="2">
          <reference field="4294967294" count="1" selected="0">
            <x v="0"/>
          </reference>
          <reference field="3" count="1" selected="0">
            <x v="7"/>
          </reference>
        </references>
      </pivotArea>
    </chartFormat>
    <chartFormat chart="117" format="11" series="1">
      <pivotArea type="data" outline="0" fieldPosition="0">
        <references count="1">
          <reference field="4294967294" count="1" selected="0">
            <x v="0"/>
          </reference>
        </references>
      </pivotArea>
    </chartFormat>
    <chartFormat chart="117" format="12">
      <pivotArea type="data" outline="0" fieldPosition="0">
        <references count="2">
          <reference field="4294967294" count="1" selected="0">
            <x v="0"/>
          </reference>
          <reference field="3" count="1" selected="0">
            <x v="0"/>
          </reference>
        </references>
      </pivotArea>
    </chartFormat>
    <chartFormat chart="117" format="13">
      <pivotArea type="data" outline="0" fieldPosition="0">
        <references count="2">
          <reference field="4294967294" count="1" selected="0">
            <x v="0"/>
          </reference>
          <reference field="3" count="1" selected="0">
            <x v="1"/>
          </reference>
        </references>
      </pivotArea>
    </chartFormat>
    <chartFormat chart="117" format="14">
      <pivotArea type="data" outline="0" fieldPosition="0">
        <references count="2">
          <reference field="4294967294" count="1" selected="0">
            <x v="0"/>
          </reference>
          <reference field="3" count="1" selected="0">
            <x v="2"/>
          </reference>
        </references>
      </pivotArea>
    </chartFormat>
    <chartFormat chart="117" format="15">
      <pivotArea type="data" outline="0" fieldPosition="0">
        <references count="2">
          <reference field="4294967294" count="1" selected="0">
            <x v="0"/>
          </reference>
          <reference field="3" count="1" selected="0">
            <x v="3"/>
          </reference>
        </references>
      </pivotArea>
    </chartFormat>
    <chartFormat chart="117" format="16">
      <pivotArea type="data" outline="0" fieldPosition="0">
        <references count="2">
          <reference field="4294967294" count="1" selected="0">
            <x v="0"/>
          </reference>
          <reference field="3" count="1" selected="0">
            <x v="4"/>
          </reference>
        </references>
      </pivotArea>
    </chartFormat>
    <chartFormat chart="117" format="17">
      <pivotArea type="data" outline="0" fieldPosition="0">
        <references count="2">
          <reference field="4294967294" count="1" selected="0">
            <x v="0"/>
          </reference>
          <reference field="3" count="1" selected="0">
            <x v="5"/>
          </reference>
        </references>
      </pivotArea>
    </chartFormat>
    <chartFormat chart="117" format="18">
      <pivotArea type="data" outline="0" fieldPosition="0">
        <references count="2">
          <reference field="4294967294" count="1" selected="0">
            <x v="0"/>
          </reference>
          <reference field="3" count="1" selected="0">
            <x v="6"/>
          </reference>
        </references>
      </pivotArea>
    </chartFormat>
    <chartFormat chart="117" format="19">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62D04D-213A-4083-8A0C-A5E8B7BF6458}" name="PivotTable8"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I65:J72" firstHeaderRow="1" firstDataRow="1" firstDataCol="1"/>
  <pivotFields count="13">
    <pivotField showAll="0"/>
    <pivotField numFmtId="14" showAll="0">
      <items count="289">
        <item x="126"/>
        <item x="283"/>
        <item x="74"/>
        <item x="217"/>
        <item x="40"/>
        <item x="239"/>
        <item x="14"/>
        <item x="194"/>
        <item x="103"/>
        <item x="272"/>
        <item x="50"/>
        <item x="183"/>
        <item x="249"/>
        <item x="149"/>
        <item x="32"/>
        <item x="205"/>
        <item x="86"/>
        <item x="171"/>
        <item x="229"/>
        <item x="2"/>
        <item x="62"/>
        <item x="160"/>
        <item x="261"/>
        <item x="138"/>
        <item x="98"/>
        <item x="114"/>
        <item x="154"/>
        <item x="67"/>
        <item x="243"/>
        <item x="187"/>
        <item x="79"/>
        <item x="131"/>
        <item x="44"/>
        <item x="222"/>
        <item x="108"/>
        <item x="29"/>
        <item x="233"/>
        <item x="176"/>
        <item x="8"/>
        <item x="164"/>
        <item x="55"/>
        <item x="199"/>
        <item x="21"/>
        <item x="254"/>
        <item x="119"/>
        <item x="276"/>
        <item x="210"/>
        <item x="91"/>
        <item x="266"/>
        <item x="12"/>
        <item x="172"/>
        <item x="115"/>
        <item x="75"/>
        <item x="195"/>
        <item x="139"/>
        <item x="63"/>
        <item x="240"/>
        <item x="273"/>
        <item x="0"/>
        <item x="35"/>
        <item x="262"/>
        <item x="104"/>
        <item x="127"/>
        <item x="24"/>
        <item x="206"/>
        <item x="250"/>
        <item x="87"/>
        <item x="218"/>
        <item x="150"/>
        <item x="284"/>
        <item x="51"/>
        <item x="99"/>
        <item x="135"/>
        <item x="59"/>
        <item x="191"/>
        <item x="258"/>
        <item x="27"/>
        <item x="202"/>
        <item x="146"/>
        <item x="83"/>
        <item x="4"/>
        <item x="180"/>
        <item x="123"/>
        <item x="236"/>
        <item x="100"/>
        <item x="47"/>
        <item x="168"/>
        <item x="214"/>
        <item x="71"/>
        <item x="280"/>
        <item x="111"/>
        <item x="95"/>
        <item x="226"/>
        <item x="18"/>
        <item x="38"/>
        <item x="120"/>
        <item x="277"/>
        <item x="15"/>
        <item x="200"/>
        <item x="211"/>
        <item x="143"/>
        <item x="234"/>
        <item x="177"/>
        <item x="56"/>
        <item x="80"/>
        <item x="30"/>
        <item x="255"/>
        <item x="155"/>
        <item x="92"/>
        <item x="244"/>
        <item x="223"/>
        <item x="41"/>
        <item x="188"/>
        <item x="68"/>
        <item x="165"/>
        <item x="132"/>
        <item x="9"/>
        <item x="267"/>
        <item x="285"/>
        <item x="33"/>
        <item x="173"/>
        <item x="219"/>
        <item x="274"/>
        <item x="140"/>
        <item x="230"/>
        <item x="52"/>
        <item x="161"/>
        <item x="22"/>
        <item x="116"/>
        <item x="128"/>
        <item x="184"/>
        <item x="241"/>
        <item x="76"/>
        <item x="45"/>
        <item x="7"/>
        <item x="196"/>
        <item x="105"/>
        <item x="263"/>
        <item x="151"/>
        <item x="251"/>
        <item x="88"/>
        <item x="207"/>
        <item x="64"/>
        <item x="37"/>
        <item x="1"/>
        <item x="227"/>
        <item x="96"/>
        <item x="112"/>
        <item x="169"/>
        <item x="270"/>
        <item x="72"/>
        <item x="237"/>
        <item x="147"/>
        <item x="215"/>
        <item x="25"/>
        <item x="281"/>
        <item x="136"/>
        <item x="101"/>
        <item x="13"/>
        <item x="181"/>
        <item x="158"/>
        <item x="247"/>
        <item x="192"/>
        <item x="60"/>
        <item x="203"/>
        <item x="124"/>
        <item x="84"/>
        <item x="259"/>
        <item x="224"/>
        <item x="69"/>
        <item x="189"/>
        <item x="133"/>
        <item x="245"/>
        <item x="81"/>
        <item x="16"/>
        <item x="156"/>
        <item x="109"/>
        <item x="278"/>
        <item x="212"/>
        <item x="144"/>
        <item x="93"/>
        <item x="3"/>
        <item x="178"/>
        <item x="121"/>
        <item x="256"/>
        <item x="57"/>
        <item x="268"/>
        <item x="31"/>
        <item x="166"/>
        <item x="42"/>
        <item x="231"/>
        <item x="162"/>
        <item x="89"/>
        <item x="129"/>
        <item x="252"/>
        <item x="65"/>
        <item x="10"/>
        <item x="106"/>
        <item x="208"/>
        <item x="39"/>
        <item x="185"/>
        <item x="286"/>
        <item x="197"/>
        <item x="152"/>
        <item x="28"/>
        <item x="275"/>
        <item x="53"/>
        <item x="264"/>
        <item x="117"/>
        <item x="48"/>
        <item x="220"/>
        <item x="77"/>
        <item x="23"/>
        <item x="141"/>
        <item x="174"/>
        <item x="113"/>
        <item x="46"/>
        <item x="19"/>
        <item x="182"/>
        <item x="137"/>
        <item x="228"/>
        <item x="248"/>
        <item x="85"/>
        <item x="282"/>
        <item x="260"/>
        <item x="5"/>
        <item x="193"/>
        <item x="61"/>
        <item x="216"/>
        <item x="97"/>
        <item x="159"/>
        <item x="34"/>
        <item x="271"/>
        <item x="170"/>
        <item x="125"/>
        <item x="204"/>
        <item x="238"/>
        <item x="102"/>
        <item x="73"/>
        <item x="148"/>
        <item x="94"/>
        <item x="269"/>
        <item x="6"/>
        <item x="201"/>
        <item x="157"/>
        <item x="257"/>
        <item x="122"/>
        <item x="179"/>
        <item x="43"/>
        <item x="246"/>
        <item x="167"/>
        <item x="110"/>
        <item x="17"/>
        <item x="235"/>
        <item x="134"/>
        <item x="58"/>
        <item x="82"/>
        <item x="225"/>
        <item x="70"/>
        <item x="213"/>
        <item x="279"/>
        <item x="145"/>
        <item x="26"/>
        <item x="190"/>
        <item x="221"/>
        <item x="54"/>
        <item x="107"/>
        <item x="36"/>
        <item x="186"/>
        <item x="253"/>
        <item x="153"/>
        <item x="78"/>
        <item x="130"/>
        <item x="287"/>
        <item x="242"/>
        <item x="66"/>
        <item x="209"/>
        <item x="20"/>
        <item x="163"/>
        <item x="90"/>
        <item x="232"/>
        <item x="11"/>
        <item x="142"/>
        <item x="175"/>
        <item x="198"/>
        <item x="49"/>
        <item x="265"/>
        <item x="118"/>
        <item t="default"/>
      </items>
    </pivotField>
    <pivotField showAll="0"/>
    <pivotField showAll="0">
      <items count="9">
        <item x="1"/>
        <item x="0"/>
        <item x="7"/>
        <item x="2"/>
        <item x="5"/>
        <item x="6"/>
        <item x="3"/>
        <item x="4"/>
        <item t="default"/>
      </items>
    </pivotField>
    <pivotField showAll="0"/>
    <pivotField showAll="0"/>
    <pivotField showAll="0"/>
    <pivotField showAll="0"/>
    <pivotField dataField="1" numFmtId="164" showAll="0"/>
    <pivotField showAll="0">
      <items count="5">
        <item x="0"/>
        <item x="3"/>
        <item x="2"/>
        <item x="1"/>
        <item t="default"/>
      </items>
    </pivotField>
    <pivotField axis="axisRow" showAll="0" sortType="ascending">
      <items count="7">
        <item x="2"/>
        <item x="5"/>
        <item x="4"/>
        <item x="1"/>
        <item x="3"/>
        <item x="0"/>
        <item t="default"/>
      </items>
      <autoSortScope>
        <pivotArea dataOnly="0" outline="0" fieldPosition="0">
          <references count="1">
            <reference field="4294967294" count="1" selected="0">
              <x v="0"/>
            </reference>
          </references>
        </pivotArea>
      </autoSortScope>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7">
    <i>
      <x v="4"/>
    </i>
    <i>
      <x/>
    </i>
    <i>
      <x v="5"/>
    </i>
    <i>
      <x v="1"/>
    </i>
    <i>
      <x v="3"/>
    </i>
    <i>
      <x v="2"/>
    </i>
    <i t="grand">
      <x/>
    </i>
  </rowItems>
  <colItems count="1">
    <i/>
  </colItems>
  <dataFields count="1">
    <dataField name="Sum of Final Price" fld="8" baseField="0" baseItem="0" numFmtId="164"/>
  </dataFields>
  <formats count="10">
    <format dxfId="474">
      <pivotArea outline="0" collapsedLevelsAreSubtotals="1" fieldPosition="0"/>
    </format>
    <format dxfId="475">
      <pivotArea type="all" dataOnly="0" outline="0" fieldPosition="0"/>
    </format>
    <format dxfId="476">
      <pivotArea field="9" type="button" dataOnly="0" labelOnly="1" outline="0"/>
    </format>
    <format dxfId="477">
      <pivotArea type="all" dataOnly="0" outline="0" fieldPosition="0"/>
    </format>
    <format dxfId="478">
      <pivotArea outline="0" collapsedLevelsAreSubtotals="1" fieldPosition="0"/>
    </format>
    <format dxfId="479">
      <pivotArea field="10" type="button" dataOnly="0" labelOnly="1" outline="0" axis="axisRow" fieldPosition="0"/>
    </format>
    <format dxfId="480">
      <pivotArea dataOnly="0" labelOnly="1" fieldPosition="0">
        <references count="1">
          <reference field="10" count="0"/>
        </references>
      </pivotArea>
    </format>
    <format dxfId="481">
      <pivotArea dataOnly="0" labelOnly="1" grandRow="1" outline="0" fieldPosition="0"/>
    </format>
    <format dxfId="482">
      <pivotArea dataOnly="0" labelOnly="1" outline="0" axis="axisValues" fieldPosition="0"/>
    </format>
    <format dxfId="483">
      <pivotArea collapsedLevelsAreSubtotals="1" fieldPosition="0">
        <references count="1">
          <reference field="10" count="0"/>
        </references>
      </pivotArea>
    </format>
  </formats>
  <chartFormats count="2">
    <chartFormat chart="35" format="2"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84D663-9A3E-4A97-B91F-674DBE289D24}" name="PivotTable7"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66:B71" firstHeaderRow="1" firstDataRow="1" firstDataCol="1"/>
  <pivotFields count="13">
    <pivotField showAll="0"/>
    <pivotField numFmtId="14" showAll="0">
      <items count="289">
        <item x="126"/>
        <item x="283"/>
        <item x="74"/>
        <item x="217"/>
        <item x="40"/>
        <item x="239"/>
        <item x="14"/>
        <item x="194"/>
        <item x="103"/>
        <item x="272"/>
        <item x="50"/>
        <item x="183"/>
        <item x="249"/>
        <item x="149"/>
        <item x="32"/>
        <item x="205"/>
        <item x="86"/>
        <item x="171"/>
        <item x="229"/>
        <item x="2"/>
        <item x="62"/>
        <item x="160"/>
        <item x="261"/>
        <item x="138"/>
        <item x="98"/>
        <item x="114"/>
        <item x="154"/>
        <item x="67"/>
        <item x="243"/>
        <item x="187"/>
        <item x="79"/>
        <item x="131"/>
        <item x="44"/>
        <item x="222"/>
        <item x="108"/>
        <item x="29"/>
        <item x="233"/>
        <item x="176"/>
        <item x="8"/>
        <item x="164"/>
        <item x="55"/>
        <item x="199"/>
        <item x="21"/>
        <item x="254"/>
        <item x="119"/>
        <item x="276"/>
        <item x="210"/>
        <item x="91"/>
        <item x="266"/>
        <item x="12"/>
        <item x="172"/>
        <item x="115"/>
        <item x="75"/>
        <item x="195"/>
        <item x="139"/>
        <item x="63"/>
        <item x="240"/>
        <item x="273"/>
        <item x="0"/>
        <item x="35"/>
        <item x="262"/>
        <item x="104"/>
        <item x="127"/>
        <item x="24"/>
        <item x="206"/>
        <item x="250"/>
        <item x="87"/>
        <item x="218"/>
        <item x="150"/>
        <item x="284"/>
        <item x="51"/>
        <item x="99"/>
        <item x="135"/>
        <item x="59"/>
        <item x="191"/>
        <item x="258"/>
        <item x="27"/>
        <item x="202"/>
        <item x="146"/>
        <item x="83"/>
        <item x="4"/>
        <item x="180"/>
        <item x="123"/>
        <item x="236"/>
        <item x="100"/>
        <item x="47"/>
        <item x="168"/>
        <item x="214"/>
        <item x="71"/>
        <item x="280"/>
        <item x="111"/>
        <item x="95"/>
        <item x="226"/>
        <item x="18"/>
        <item x="38"/>
        <item x="120"/>
        <item x="277"/>
        <item x="15"/>
        <item x="200"/>
        <item x="211"/>
        <item x="143"/>
        <item x="234"/>
        <item x="177"/>
        <item x="56"/>
        <item x="80"/>
        <item x="30"/>
        <item x="255"/>
        <item x="155"/>
        <item x="92"/>
        <item x="244"/>
        <item x="223"/>
        <item x="41"/>
        <item x="188"/>
        <item x="68"/>
        <item x="165"/>
        <item x="132"/>
        <item x="9"/>
        <item x="267"/>
        <item x="285"/>
        <item x="33"/>
        <item x="173"/>
        <item x="219"/>
        <item x="274"/>
        <item x="140"/>
        <item x="230"/>
        <item x="52"/>
        <item x="161"/>
        <item x="22"/>
        <item x="116"/>
        <item x="128"/>
        <item x="184"/>
        <item x="241"/>
        <item x="76"/>
        <item x="45"/>
        <item x="7"/>
        <item x="196"/>
        <item x="105"/>
        <item x="263"/>
        <item x="151"/>
        <item x="251"/>
        <item x="88"/>
        <item x="207"/>
        <item x="64"/>
        <item x="37"/>
        <item x="1"/>
        <item x="227"/>
        <item x="96"/>
        <item x="112"/>
        <item x="169"/>
        <item x="270"/>
        <item x="72"/>
        <item x="237"/>
        <item x="147"/>
        <item x="215"/>
        <item x="25"/>
        <item x="281"/>
        <item x="136"/>
        <item x="101"/>
        <item x="13"/>
        <item x="181"/>
        <item x="158"/>
        <item x="247"/>
        <item x="192"/>
        <item x="60"/>
        <item x="203"/>
        <item x="124"/>
        <item x="84"/>
        <item x="259"/>
        <item x="224"/>
        <item x="69"/>
        <item x="189"/>
        <item x="133"/>
        <item x="245"/>
        <item x="81"/>
        <item x="16"/>
        <item x="156"/>
        <item x="109"/>
        <item x="278"/>
        <item x="212"/>
        <item x="144"/>
        <item x="93"/>
        <item x="3"/>
        <item x="178"/>
        <item x="121"/>
        <item x="256"/>
        <item x="57"/>
        <item x="268"/>
        <item x="31"/>
        <item x="166"/>
        <item x="42"/>
        <item x="231"/>
        <item x="162"/>
        <item x="89"/>
        <item x="129"/>
        <item x="252"/>
        <item x="65"/>
        <item x="10"/>
        <item x="106"/>
        <item x="208"/>
        <item x="39"/>
        <item x="185"/>
        <item x="286"/>
        <item x="197"/>
        <item x="152"/>
        <item x="28"/>
        <item x="275"/>
        <item x="53"/>
        <item x="264"/>
        <item x="117"/>
        <item x="48"/>
        <item x="220"/>
        <item x="77"/>
        <item x="23"/>
        <item x="141"/>
        <item x="174"/>
        <item x="113"/>
        <item x="46"/>
        <item x="19"/>
        <item x="182"/>
        <item x="137"/>
        <item x="228"/>
        <item x="248"/>
        <item x="85"/>
        <item x="282"/>
        <item x="260"/>
        <item x="5"/>
        <item x="193"/>
        <item x="61"/>
        <item x="216"/>
        <item x="97"/>
        <item x="159"/>
        <item x="34"/>
        <item x="271"/>
        <item x="170"/>
        <item x="125"/>
        <item x="204"/>
        <item x="238"/>
        <item x="102"/>
        <item x="73"/>
        <item x="148"/>
        <item x="94"/>
        <item x="269"/>
        <item x="6"/>
        <item x="201"/>
        <item x="157"/>
        <item x="257"/>
        <item x="122"/>
        <item x="179"/>
        <item x="43"/>
        <item x="246"/>
        <item x="167"/>
        <item x="110"/>
        <item x="17"/>
        <item x="235"/>
        <item x="134"/>
        <item x="58"/>
        <item x="82"/>
        <item x="225"/>
        <item x="70"/>
        <item x="213"/>
        <item x="279"/>
        <item x="145"/>
        <item x="26"/>
        <item x="190"/>
        <item x="221"/>
        <item x="54"/>
        <item x="107"/>
        <item x="36"/>
        <item x="186"/>
        <item x="253"/>
        <item x="153"/>
        <item x="78"/>
        <item x="130"/>
        <item x="287"/>
        <item x="242"/>
        <item x="66"/>
        <item x="209"/>
        <item x="20"/>
        <item x="163"/>
        <item x="90"/>
        <item x="232"/>
        <item x="11"/>
        <item x="142"/>
        <item x="175"/>
        <item x="198"/>
        <item x="49"/>
        <item x="265"/>
        <item x="118"/>
        <item t="default"/>
      </items>
    </pivotField>
    <pivotField dataField="1" showAll="0"/>
    <pivotField showAll="0">
      <items count="9">
        <item x="1"/>
        <item x="0"/>
        <item x="7"/>
        <item x="2"/>
        <item x="5"/>
        <item x="6"/>
        <item x="3"/>
        <item x="4"/>
        <item t="default"/>
      </items>
    </pivotField>
    <pivotField showAll="0"/>
    <pivotField showAll="0"/>
    <pivotField showAll="0"/>
    <pivotField showAll="0"/>
    <pivotField numFmtId="164" showAll="0"/>
    <pivotField axis="axisRow" showAll="0">
      <items count="5">
        <item x="0"/>
        <item x="3"/>
        <item x="2"/>
        <item x="1"/>
        <item t="default"/>
      </items>
    </pivotField>
    <pivotField showAll="0">
      <items count="7">
        <item x="0"/>
        <item x="3"/>
        <item x="1"/>
        <item x="4"/>
        <item x="5"/>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5">
    <i>
      <x/>
    </i>
    <i>
      <x v="1"/>
    </i>
    <i>
      <x v="2"/>
    </i>
    <i>
      <x v="3"/>
    </i>
    <i t="grand">
      <x/>
    </i>
  </rowItems>
  <colItems count="1">
    <i/>
  </colItems>
  <dataFields count="1">
    <dataField name="Count of Product" fld="2" subtotal="count" baseField="9" baseItem="0"/>
  </dataFields>
  <formats count="7">
    <format dxfId="484">
      <pivotArea outline="0" collapsedLevelsAreSubtotals="1" fieldPosition="0"/>
    </format>
    <format dxfId="485">
      <pivotArea type="all" dataOnly="0" outline="0" fieldPosition="0"/>
    </format>
    <format dxfId="486">
      <pivotArea outline="0" collapsedLevelsAreSubtotals="1" fieldPosition="0"/>
    </format>
    <format dxfId="487">
      <pivotArea field="9" type="button" dataOnly="0" labelOnly="1" outline="0" axis="axisRow" fieldPosition="0"/>
    </format>
    <format dxfId="488">
      <pivotArea dataOnly="0" labelOnly="1" fieldPosition="0">
        <references count="1">
          <reference field="9" count="0"/>
        </references>
      </pivotArea>
    </format>
    <format dxfId="489">
      <pivotArea dataOnly="0" labelOnly="1" grandRow="1" outline="0" fieldPosition="0"/>
    </format>
    <format dxfId="490">
      <pivotArea dataOnly="0" labelOnly="1" outline="0" axis="axisValues" fieldPosition="0"/>
    </format>
  </formats>
  <chartFormats count="10">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9" count="1" selected="0">
            <x v="0"/>
          </reference>
        </references>
      </pivotArea>
    </chartFormat>
    <chartFormat chart="29" format="8">
      <pivotArea type="data" outline="0" fieldPosition="0">
        <references count="2">
          <reference field="4294967294" count="1" selected="0">
            <x v="0"/>
          </reference>
          <reference field="9" count="1" selected="0">
            <x v="1"/>
          </reference>
        </references>
      </pivotArea>
    </chartFormat>
    <chartFormat chart="29" format="9">
      <pivotArea type="data" outline="0" fieldPosition="0">
        <references count="2">
          <reference field="4294967294" count="1" selected="0">
            <x v="0"/>
          </reference>
          <reference field="9" count="1" selected="0">
            <x v="2"/>
          </reference>
        </references>
      </pivotArea>
    </chartFormat>
    <chartFormat chart="29" format="10">
      <pivotArea type="data" outline="0" fieldPosition="0">
        <references count="2">
          <reference field="4294967294" count="1" selected="0">
            <x v="0"/>
          </reference>
          <reference field="9" count="1" selected="0">
            <x v="3"/>
          </reference>
        </references>
      </pivotArea>
    </chartFormat>
    <chartFormat chart="31" format="16" series="1">
      <pivotArea type="data" outline="0" fieldPosition="0">
        <references count="1">
          <reference field="4294967294" count="1" selected="0">
            <x v="0"/>
          </reference>
        </references>
      </pivotArea>
    </chartFormat>
    <chartFormat chart="31" format="17">
      <pivotArea type="data" outline="0" fieldPosition="0">
        <references count="2">
          <reference field="4294967294" count="1" selected="0">
            <x v="0"/>
          </reference>
          <reference field="9" count="1" selected="0">
            <x v="0"/>
          </reference>
        </references>
      </pivotArea>
    </chartFormat>
    <chartFormat chart="31" format="18">
      <pivotArea type="data" outline="0" fieldPosition="0">
        <references count="2">
          <reference field="4294967294" count="1" selected="0">
            <x v="0"/>
          </reference>
          <reference field="9" count="1" selected="0">
            <x v="1"/>
          </reference>
        </references>
      </pivotArea>
    </chartFormat>
    <chartFormat chart="31" format="19">
      <pivotArea type="data" outline="0" fieldPosition="0">
        <references count="2">
          <reference field="4294967294" count="1" selected="0">
            <x v="0"/>
          </reference>
          <reference field="9" count="1" selected="0">
            <x v="2"/>
          </reference>
        </references>
      </pivotArea>
    </chartFormat>
    <chartFormat chart="31" format="2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A6EE5D-86FB-4C8B-B38A-A63D7407C5CD}" name="PivotTable5"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A46:D55" firstHeaderRow="0" firstDataRow="1" firstDataCol="1"/>
  <pivotFields count="13">
    <pivotField showAll="0"/>
    <pivotField numFmtId="14" showAll="0">
      <items count="289">
        <item x="126"/>
        <item x="283"/>
        <item x="74"/>
        <item x="217"/>
        <item x="40"/>
        <item x="239"/>
        <item x="14"/>
        <item x="194"/>
        <item x="103"/>
        <item x="272"/>
        <item x="50"/>
        <item x="183"/>
        <item x="249"/>
        <item x="149"/>
        <item x="32"/>
        <item x="205"/>
        <item x="86"/>
        <item x="171"/>
        <item x="229"/>
        <item x="2"/>
        <item x="62"/>
        <item x="160"/>
        <item x="261"/>
        <item x="138"/>
        <item x="98"/>
        <item x="114"/>
        <item x="154"/>
        <item x="67"/>
        <item x="243"/>
        <item x="187"/>
        <item x="79"/>
        <item x="131"/>
        <item x="44"/>
        <item x="222"/>
        <item x="108"/>
        <item x="29"/>
        <item x="233"/>
        <item x="176"/>
        <item x="8"/>
        <item x="164"/>
        <item x="55"/>
        <item x="199"/>
        <item x="21"/>
        <item x="254"/>
        <item x="119"/>
        <item x="276"/>
        <item x="210"/>
        <item x="91"/>
        <item x="266"/>
        <item x="12"/>
        <item x="172"/>
        <item x="115"/>
        <item x="75"/>
        <item x="195"/>
        <item x="139"/>
        <item x="63"/>
        <item x="240"/>
        <item x="273"/>
        <item x="0"/>
        <item x="35"/>
        <item x="262"/>
        <item x="104"/>
        <item x="127"/>
        <item x="24"/>
        <item x="206"/>
        <item x="250"/>
        <item x="87"/>
        <item x="218"/>
        <item x="150"/>
        <item x="284"/>
        <item x="51"/>
        <item x="99"/>
        <item x="135"/>
        <item x="59"/>
        <item x="191"/>
        <item x="258"/>
        <item x="27"/>
        <item x="202"/>
        <item x="146"/>
        <item x="83"/>
        <item x="4"/>
        <item x="180"/>
        <item x="123"/>
        <item x="236"/>
        <item x="100"/>
        <item x="47"/>
        <item x="168"/>
        <item x="214"/>
        <item x="71"/>
        <item x="280"/>
        <item x="111"/>
        <item x="95"/>
        <item x="226"/>
        <item x="18"/>
        <item x="38"/>
        <item x="120"/>
        <item x="277"/>
        <item x="15"/>
        <item x="200"/>
        <item x="211"/>
        <item x="143"/>
        <item x="234"/>
        <item x="177"/>
        <item x="56"/>
        <item x="80"/>
        <item x="30"/>
        <item x="255"/>
        <item x="155"/>
        <item x="92"/>
        <item x="244"/>
        <item x="223"/>
        <item x="41"/>
        <item x="188"/>
        <item x="68"/>
        <item x="165"/>
        <item x="132"/>
        <item x="9"/>
        <item x="267"/>
        <item x="285"/>
        <item x="33"/>
        <item x="173"/>
        <item x="219"/>
        <item x="274"/>
        <item x="140"/>
        <item x="230"/>
        <item x="52"/>
        <item x="161"/>
        <item x="22"/>
        <item x="116"/>
        <item x="128"/>
        <item x="184"/>
        <item x="241"/>
        <item x="76"/>
        <item x="45"/>
        <item x="7"/>
        <item x="196"/>
        <item x="105"/>
        <item x="263"/>
        <item x="151"/>
        <item x="251"/>
        <item x="88"/>
        <item x="207"/>
        <item x="64"/>
        <item x="37"/>
        <item x="1"/>
        <item x="227"/>
        <item x="96"/>
        <item x="112"/>
        <item x="169"/>
        <item x="270"/>
        <item x="72"/>
        <item x="237"/>
        <item x="147"/>
        <item x="215"/>
        <item x="25"/>
        <item x="281"/>
        <item x="136"/>
        <item x="101"/>
        <item x="13"/>
        <item x="181"/>
        <item x="158"/>
        <item x="247"/>
        <item x="192"/>
        <item x="60"/>
        <item x="203"/>
        <item x="124"/>
        <item x="84"/>
        <item x="259"/>
        <item x="224"/>
        <item x="69"/>
        <item x="189"/>
        <item x="133"/>
        <item x="245"/>
        <item x="81"/>
        <item x="16"/>
        <item x="156"/>
        <item x="109"/>
        <item x="278"/>
        <item x="212"/>
        <item x="144"/>
        <item x="93"/>
        <item x="3"/>
        <item x="178"/>
        <item x="121"/>
        <item x="256"/>
        <item x="57"/>
        <item x="268"/>
        <item x="31"/>
        <item x="166"/>
        <item x="42"/>
        <item x="231"/>
        <item x="162"/>
        <item x="89"/>
        <item x="129"/>
        <item x="252"/>
        <item x="65"/>
        <item x="10"/>
        <item x="106"/>
        <item x="208"/>
        <item x="39"/>
        <item x="185"/>
        <item x="286"/>
        <item x="197"/>
        <item x="152"/>
        <item x="28"/>
        <item x="275"/>
        <item x="53"/>
        <item x="264"/>
        <item x="117"/>
        <item x="48"/>
        <item x="220"/>
        <item x="77"/>
        <item x="23"/>
        <item x="141"/>
        <item x="174"/>
        <item x="113"/>
        <item x="46"/>
        <item x="19"/>
        <item x="182"/>
        <item x="137"/>
        <item x="228"/>
        <item x="248"/>
        <item x="85"/>
        <item x="282"/>
        <item x="260"/>
        <item x="5"/>
        <item x="193"/>
        <item x="61"/>
        <item x="216"/>
        <item x="97"/>
        <item x="159"/>
        <item x="34"/>
        <item x="271"/>
        <item x="170"/>
        <item x="125"/>
        <item x="204"/>
        <item x="238"/>
        <item x="102"/>
        <item x="73"/>
        <item x="148"/>
        <item x="94"/>
        <item x="269"/>
        <item x="6"/>
        <item x="201"/>
        <item x="157"/>
        <item x="257"/>
        <item x="122"/>
        <item x="179"/>
        <item x="43"/>
        <item x="246"/>
        <item x="167"/>
        <item x="110"/>
        <item x="17"/>
        <item x="235"/>
        <item x="134"/>
        <item x="58"/>
        <item x="82"/>
        <item x="225"/>
        <item x="70"/>
        <item x="213"/>
        <item x="279"/>
        <item x="145"/>
        <item x="26"/>
        <item x="190"/>
        <item x="221"/>
        <item x="54"/>
        <item x="107"/>
        <item x="36"/>
        <item x="186"/>
        <item x="253"/>
        <item x="153"/>
        <item x="78"/>
        <item x="130"/>
        <item x="287"/>
        <item x="242"/>
        <item x="66"/>
        <item x="209"/>
        <item x="20"/>
        <item x="163"/>
        <item x="90"/>
        <item x="232"/>
        <item x="11"/>
        <item x="142"/>
        <item x="175"/>
        <item x="198"/>
        <item x="49"/>
        <item x="265"/>
        <item x="118"/>
        <item t="default"/>
      </items>
    </pivotField>
    <pivotField showAll="0"/>
    <pivotField axis="axisRow" showAll="0">
      <items count="9">
        <item x="1"/>
        <item x="0"/>
        <item x="7"/>
        <item x="2"/>
        <item x="5"/>
        <item x="6"/>
        <item x="3"/>
        <item x="4"/>
        <item t="default"/>
      </items>
    </pivotField>
    <pivotField showAll="0"/>
    <pivotField dataField="1" showAll="0"/>
    <pivotField dataField="1" showAll="0"/>
    <pivotField showAll="0"/>
    <pivotField dataField="1" numFmtId="164" showAll="0"/>
    <pivotField showAll="0">
      <items count="5">
        <item x="0"/>
        <item x="3"/>
        <item x="2"/>
        <item x="1"/>
        <item t="default"/>
      </items>
    </pivotField>
    <pivotField showAll="0">
      <items count="7">
        <item x="0"/>
        <item x="3"/>
        <item x="1"/>
        <item x="4"/>
        <item x="5"/>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9">
    <i>
      <x/>
    </i>
    <i>
      <x v="1"/>
    </i>
    <i>
      <x v="2"/>
    </i>
    <i>
      <x v="3"/>
    </i>
    <i>
      <x v="4"/>
    </i>
    <i>
      <x v="5"/>
    </i>
    <i>
      <x v="6"/>
    </i>
    <i>
      <x v="7"/>
    </i>
    <i t="grand">
      <x/>
    </i>
  </rowItems>
  <colFields count="1">
    <field x="-2"/>
  </colFields>
  <colItems count="3">
    <i>
      <x/>
    </i>
    <i i="1">
      <x v="1"/>
    </i>
    <i i="2">
      <x v="2"/>
    </i>
  </colItems>
  <dataFields count="3">
    <dataField name="Sum of Unit Price" fld="5" baseField="0" baseItem="0"/>
    <dataField name="Sum of Gross Total" fld="6" baseField="0" baseItem="0"/>
    <dataField name="Sum of Final Price" fld="8" baseField="0" baseItem="0" numFmtId="164"/>
  </dataFields>
  <formats count="9">
    <format dxfId="491">
      <pivotArea outline="0" collapsedLevelsAreSubtotals="1" fieldPosition="0"/>
    </format>
    <format dxfId="492">
      <pivotArea type="all" dataOnly="0" outline="0" fieldPosition="0"/>
    </format>
    <format dxfId="493">
      <pivotArea outline="0" collapsedLevelsAreSubtotals="1" fieldPosition="0"/>
    </format>
    <format dxfId="494">
      <pivotArea field="3" type="button" dataOnly="0" labelOnly="1" outline="0" axis="axisRow" fieldPosition="0"/>
    </format>
    <format dxfId="495">
      <pivotArea dataOnly="0" labelOnly="1" grandRow="1" outline="0" fieldPosition="0"/>
    </format>
    <format dxfId="496">
      <pivotArea dataOnly="0" labelOnly="1" outline="0" axis="axisValues" fieldPosition="0"/>
    </format>
    <format dxfId="497">
      <pivotArea collapsedLevelsAreSubtotals="1" fieldPosition="0">
        <references count="2">
          <reference field="4294967294" count="1" selected="0">
            <x v="0"/>
          </reference>
          <reference field="3" count="0"/>
        </references>
      </pivotArea>
    </format>
    <format dxfId="498">
      <pivotArea collapsedLevelsAreSubtotals="1" fieldPosition="0">
        <references count="2">
          <reference field="4294967294" count="1" selected="0">
            <x v="1"/>
          </reference>
          <reference field="3" count="0"/>
        </references>
      </pivotArea>
    </format>
    <format dxfId="499">
      <pivotArea collapsedLevelsAreSubtotals="1" fieldPosition="0">
        <references count="2">
          <reference field="4294967294" count="1" selected="0">
            <x v="2"/>
          </reference>
          <reference field="3" count="0"/>
        </references>
      </pivotArea>
    </format>
  </formats>
  <chartFormats count="6">
    <chartFormat chart="55" format="6" series="1">
      <pivotArea type="data" outline="0" fieldPosition="0">
        <references count="1">
          <reference field="4294967294" count="1" selected="0">
            <x v="0"/>
          </reference>
        </references>
      </pivotArea>
    </chartFormat>
    <chartFormat chart="55" format="7" series="1">
      <pivotArea type="data" outline="0" fieldPosition="0">
        <references count="1">
          <reference field="4294967294" count="1" selected="0">
            <x v="1"/>
          </reference>
        </references>
      </pivotArea>
    </chartFormat>
    <chartFormat chart="55" format="8" series="1">
      <pivotArea type="data" outline="0" fieldPosition="0">
        <references count="1">
          <reference field="4294967294" count="1" selected="0">
            <x v="2"/>
          </reference>
        </references>
      </pivotArea>
    </chartFormat>
    <chartFormat chart="57" format="12" series="1">
      <pivotArea type="data" outline="0" fieldPosition="0">
        <references count="1">
          <reference field="4294967294" count="1" selected="0">
            <x v="0"/>
          </reference>
        </references>
      </pivotArea>
    </chartFormat>
    <chartFormat chart="57" format="13" series="1">
      <pivotArea type="data" outline="0" fieldPosition="0">
        <references count="1">
          <reference field="4294967294" count="1" selected="0">
            <x v="1"/>
          </reference>
        </references>
      </pivotArea>
    </chartFormat>
    <chartFormat chart="57"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50200B-FA89-43EF-8877-CAD9DA8953D1}" name="PivotTable1"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numFmtId="14" showAll="0">
      <items count="289">
        <item x="126"/>
        <item x="283"/>
        <item x="74"/>
        <item x="217"/>
        <item x="40"/>
        <item x="239"/>
        <item x="14"/>
        <item x="194"/>
        <item x="103"/>
        <item x="272"/>
        <item x="50"/>
        <item x="183"/>
        <item x="249"/>
        <item x="149"/>
        <item x="32"/>
        <item x="205"/>
        <item x="86"/>
        <item x="171"/>
        <item x="229"/>
        <item x="2"/>
        <item x="62"/>
        <item x="160"/>
        <item x="261"/>
        <item x="138"/>
        <item x="98"/>
        <item x="114"/>
        <item x="154"/>
        <item x="67"/>
        <item x="243"/>
        <item x="187"/>
        <item x="79"/>
        <item x="131"/>
        <item x="44"/>
        <item x="222"/>
        <item x="108"/>
        <item x="29"/>
        <item x="233"/>
        <item x="176"/>
        <item x="8"/>
        <item x="164"/>
        <item x="55"/>
        <item x="199"/>
        <item x="21"/>
        <item x="254"/>
        <item x="119"/>
        <item x="276"/>
        <item x="210"/>
        <item x="91"/>
        <item x="266"/>
        <item x="12"/>
        <item x="172"/>
        <item x="115"/>
        <item x="75"/>
        <item x="195"/>
        <item x="139"/>
        <item x="63"/>
        <item x="240"/>
        <item x="273"/>
        <item x="0"/>
        <item x="35"/>
        <item x="262"/>
        <item x="104"/>
        <item x="127"/>
        <item x="24"/>
        <item x="206"/>
        <item x="250"/>
        <item x="87"/>
        <item x="218"/>
        <item x="150"/>
        <item x="284"/>
        <item x="51"/>
        <item x="99"/>
        <item x="135"/>
        <item x="59"/>
        <item x="191"/>
        <item x="258"/>
        <item x="27"/>
        <item x="202"/>
        <item x="146"/>
        <item x="83"/>
        <item x="4"/>
        <item x="180"/>
        <item x="123"/>
        <item x="236"/>
        <item x="100"/>
        <item x="47"/>
        <item x="168"/>
        <item x="214"/>
        <item x="71"/>
        <item x="280"/>
        <item x="111"/>
        <item x="95"/>
        <item x="226"/>
        <item x="18"/>
        <item x="38"/>
        <item x="120"/>
        <item x="277"/>
        <item x="15"/>
        <item x="200"/>
        <item x="211"/>
        <item x="143"/>
        <item x="234"/>
        <item x="177"/>
        <item x="56"/>
        <item x="80"/>
        <item x="30"/>
        <item x="255"/>
        <item x="155"/>
        <item x="92"/>
        <item x="244"/>
        <item x="223"/>
        <item x="41"/>
        <item x="188"/>
        <item x="68"/>
        <item x="165"/>
        <item x="132"/>
        <item x="9"/>
        <item x="267"/>
        <item x="285"/>
        <item x="33"/>
        <item x="173"/>
        <item x="219"/>
        <item x="274"/>
        <item x="140"/>
        <item x="230"/>
        <item x="52"/>
        <item x="161"/>
        <item x="22"/>
        <item x="116"/>
        <item x="128"/>
        <item x="184"/>
        <item x="241"/>
        <item x="76"/>
        <item x="45"/>
        <item x="7"/>
        <item x="196"/>
        <item x="105"/>
        <item x="263"/>
        <item x="151"/>
        <item x="251"/>
        <item x="88"/>
        <item x="207"/>
        <item x="64"/>
        <item x="37"/>
        <item x="1"/>
        <item x="227"/>
        <item x="96"/>
        <item x="112"/>
        <item x="169"/>
        <item x="270"/>
        <item x="72"/>
        <item x="237"/>
        <item x="147"/>
        <item x="215"/>
        <item x="25"/>
        <item x="281"/>
        <item x="136"/>
        <item x="101"/>
        <item x="13"/>
        <item x="181"/>
        <item x="158"/>
        <item x="247"/>
        <item x="192"/>
        <item x="60"/>
        <item x="203"/>
        <item x="124"/>
        <item x="84"/>
        <item x="259"/>
        <item x="224"/>
        <item x="69"/>
        <item x="189"/>
        <item x="133"/>
        <item x="245"/>
        <item x="81"/>
        <item x="16"/>
        <item x="156"/>
        <item x="109"/>
        <item x="278"/>
        <item x="212"/>
        <item x="144"/>
        <item x="93"/>
        <item x="3"/>
        <item x="178"/>
        <item x="121"/>
        <item x="256"/>
        <item x="57"/>
        <item x="268"/>
        <item x="31"/>
        <item x="166"/>
        <item x="42"/>
        <item x="231"/>
        <item x="162"/>
        <item x="89"/>
        <item x="129"/>
        <item x="252"/>
        <item x="65"/>
        <item x="10"/>
        <item x="106"/>
        <item x="208"/>
        <item x="39"/>
        <item x="185"/>
        <item x="286"/>
        <item x="197"/>
        <item x="152"/>
        <item x="28"/>
        <item x="275"/>
        <item x="53"/>
        <item x="264"/>
        <item x="117"/>
        <item x="48"/>
        <item x="220"/>
        <item x="77"/>
        <item x="23"/>
        <item x="141"/>
        <item x="174"/>
        <item x="113"/>
        <item x="46"/>
        <item x="19"/>
        <item x="182"/>
        <item x="137"/>
        <item x="228"/>
        <item x="248"/>
        <item x="85"/>
        <item x="282"/>
        <item x="260"/>
        <item x="5"/>
        <item x="193"/>
        <item x="61"/>
        <item x="216"/>
        <item x="97"/>
        <item x="159"/>
        <item x="34"/>
        <item x="271"/>
        <item x="170"/>
        <item x="125"/>
        <item x="204"/>
        <item x="238"/>
        <item x="102"/>
        <item x="73"/>
        <item x="148"/>
        <item x="94"/>
        <item x="269"/>
        <item x="6"/>
        <item x="201"/>
        <item x="157"/>
        <item x="257"/>
        <item x="122"/>
        <item x="179"/>
        <item x="43"/>
        <item x="246"/>
        <item x="167"/>
        <item x="110"/>
        <item x="17"/>
        <item x="235"/>
        <item x="134"/>
        <item x="58"/>
        <item x="82"/>
        <item x="225"/>
        <item x="70"/>
        <item x="213"/>
        <item x="279"/>
        <item x="145"/>
        <item x="26"/>
        <item x="190"/>
        <item x="221"/>
        <item x="54"/>
        <item x="107"/>
        <item x="36"/>
        <item x="186"/>
        <item x="253"/>
        <item x="153"/>
        <item x="78"/>
        <item x="130"/>
        <item x="287"/>
        <item x="242"/>
        <item x="66"/>
        <item x="209"/>
        <item x="20"/>
        <item x="163"/>
        <item x="90"/>
        <item x="232"/>
        <item x="11"/>
        <item x="142"/>
        <item x="175"/>
        <item x="198"/>
        <item x="49"/>
        <item x="265"/>
        <item x="118"/>
        <item t="default"/>
      </items>
    </pivotField>
    <pivotField showAll="0"/>
    <pivotField showAll="0">
      <items count="9">
        <item x="1"/>
        <item x="0"/>
        <item x="7"/>
        <item x="2"/>
        <item x="5"/>
        <item x="6"/>
        <item x="3"/>
        <item x="4"/>
        <item t="default"/>
      </items>
    </pivotField>
    <pivotField dataField="1" showAll="0"/>
    <pivotField showAll="0"/>
    <pivotField showAll="0"/>
    <pivotField showAll="0"/>
    <pivotField dataField="1" numFmtId="164" showAll="0"/>
    <pivotField showAll="0">
      <items count="5">
        <item x="0"/>
        <item x="3"/>
        <item x="2"/>
        <item x="1"/>
        <item t="default"/>
      </items>
    </pivotField>
    <pivotField showAll="0">
      <items count="7">
        <item x="0"/>
        <item x="3"/>
        <item x="1"/>
        <item x="4"/>
        <item x="5"/>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Final Price" fld="8" baseField="0" baseItem="0" numFmtId="172"/>
    <dataField name="Sum of Invoice ID2" fld="0" baseField="0" baseItem="0"/>
    <dataField name="Sum of Quantity" fld="4" baseField="0" baseItem="0"/>
    <dataField name="Average of Invoice ID" fld="0" subtotal="average" baseField="0" baseItem="1"/>
  </dataFields>
  <formats count="4">
    <format dxfId="507">
      <pivotArea type="all" dataOnly="0" outline="0" fieldPosition="0"/>
    </format>
    <format dxfId="508">
      <pivotArea outline="0" collapsedLevelsAreSubtotals="1" fieldPosition="0"/>
    </format>
    <format dxfId="509">
      <pivotArea dataOnly="0" labelOnly="1" outline="0" fieldPosition="0">
        <references count="1">
          <reference field="4294967294" count="4">
            <x v="0"/>
            <x v="1"/>
            <x v="2"/>
            <x v="3"/>
          </reference>
        </references>
      </pivotArea>
    </format>
    <format dxfId="51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5B5C69-98A2-4A36-9285-FDE3C55CCDDC}" name="PivotTable3"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0:B39" firstHeaderRow="1" firstDataRow="1" firstDataCol="1"/>
  <pivotFields count="13">
    <pivotField showAll="0"/>
    <pivotField numFmtId="14" showAll="0">
      <items count="289">
        <item x="126"/>
        <item x="283"/>
        <item x="74"/>
        <item x="217"/>
        <item x="40"/>
        <item x="239"/>
        <item x="14"/>
        <item x="194"/>
        <item x="103"/>
        <item x="272"/>
        <item x="50"/>
        <item x="183"/>
        <item x="249"/>
        <item x="149"/>
        <item x="32"/>
        <item x="205"/>
        <item x="86"/>
        <item x="171"/>
        <item x="229"/>
        <item x="2"/>
        <item x="62"/>
        <item x="160"/>
        <item x="261"/>
        <item x="138"/>
        <item x="98"/>
        <item x="114"/>
        <item x="154"/>
        <item x="67"/>
        <item x="243"/>
        <item x="187"/>
        <item x="79"/>
        <item x="131"/>
        <item x="44"/>
        <item x="222"/>
        <item x="108"/>
        <item x="29"/>
        <item x="233"/>
        <item x="176"/>
        <item x="8"/>
        <item x="164"/>
        <item x="55"/>
        <item x="199"/>
        <item x="21"/>
        <item x="254"/>
        <item x="119"/>
        <item x="276"/>
        <item x="210"/>
        <item x="91"/>
        <item x="266"/>
        <item x="12"/>
        <item x="172"/>
        <item x="115"/>
        <item x="75"/>
        <item x="195"/>
        <item x="139"/>
        <item x="63"/>
        <item x="240"/>
        <item x="273"/>
        <item x="0"/>
        <item x="35"/>
        <item x="262"/>
        <item x="104"/>
        <item x="127"/>
        <item x="24"/>
        <item x="206"/>
        <item x="250"/>
        <item x="87"/>
        <item x="218"/>
        <item x="150"/>
        <item x="284"/>
        <item x="51"/>
        <item x="99"/>
        <item x="135"/>
        <item x="59"/>
        <item x="191"/>
        <item x="258"/>
        <item x="27"/>
        <item x="202"/>
        <item x="146"/>
        <item x="83"/>
        <item x="4"/>
        <item x="180"/>
        <item x="123"/>
        <item x="236"/>
        <item x="100"/>
        <item x="47"/>
        <item x="168"/>
        <item x="214"/>
        <item x="71"/>
        <item x="280"/>
        <item x="111"/>
        <item x="95"/>
        <item x="226"/>
        <item x="18"/>
        <item x="38"/>
        <item x="120"/>
        <item x="277"/>
        <item x="15"/>
        <item x="200"/>
        <item x="211"/>
        <item x="143"/>
        <item x="234"/>
        <item x="177"/>
        <item x="56"/>
        <item x="80"/>
        <item x="30"/>
        <item x="255"/>
        <item x="155"/>
        <item x="92"/>
        <item x="244"/>
        <item x="223"/>
        <item x="41"/>
        <item x="188"/>
        <item x="68"/>
        <item x="165"/>
        <item x="132"/>
        <item x="9"/>
        <item x="267"/>
        <item x="285"/>
        <item x="33"/>
        <item x="173"/>
        <item x="219"/>
        <item x="274"/>
        <item x="140"/>
        <item x="230"/>
        <item x="52"/>
        <item x="161"/>
        <item x="22"/>
        <item x="116"/>
        <item x="128"/>
        <item x="184"/>
        <item x="241"/>
        <item x="76"/>
        <item x="45"/>
        <item x="7"/>
        <item x="196"/>
        <item x="105"/>
        <item x="263"/>
        <item x="151"/>
        <item x="251"/>
        <item x="88"/>
        <item x="207"/>
        <item x="64"/>
        <item x="37"/>
        <item x="1"/>
        <item x="227"/>
        <item x="96"/>
        <item x="112"/>
        <item x="169"/>
        <item x="270"/>
        <item x="72"/>
        <item x="237"/>
        <item x="147"/>
        <item x="215"/>
        <item x="25"/>
        <item x="281"/>
        <item x="136"/>
        <item x="101"/>
        <item x="13"/>
        <item x="181"/>
        <item x="158"/>
        <item x="247"/>
        <item x="192"/>
        <item x="60"/>
        <item x="203"/>
        <item x="124"/>
        <item x="84"/>
        <item x="259"/>
        <item x="224"/>
        <item x="69"/>
        <item x="189"/>
        <item x="133"/>
        <item x="245"/>
        <item x="81"/>
        <item x="16"/>
        <item x="156"/>
        <item x="109"/>
        <item x="278"/>
        <item x="212"/>
        <item x="144"/>
        <item x="93"/>
        <item x="3"/>
        <item x="178"/>
        <item x="121"/>
        <item x="256"/>
        <item x="57"/>
        <item x="268"/>
        <item x="31"/>
        <item x="166"/>
        <item x="42"/>
        <item x="231"/>
        <item x="162"/>
        <item x="89"/>
        <item x="129"/>
        <item x="252"/>
        <item x="65"/>
        <item x="10"/>
        <item x="106"/>
        <item x="208"/>
        <item x="39"/>
        <item x="185"/>
        <item x="286"/>
        <item x="197"/>
        <item x="152"/>
        <item x="28"/>
        <item x="275"/>
        <item x="53"/>
        <item x="264"/>
        <item x="117"/>
        <item x="48"/>
        <item x="220"/>
        <item x="77"/>
        <item x="23"/>
        <item x="141"/>
        <item x="174"/>
        <item x="113"/>
        <item x="46"/>
        <item x="19"/>
        <item x="182"/>
        <item x="137"/>
        <item x="228"/>
        <item x="248"/>
        <item x="85"/>
        <item x="282"/>
        <item x="260"/>
        <item x="5"/>
        <item x="193"/>
        <item x="61"/>
        <item x="216"/>
        <item x="97"/>
        <item x="159"/>
        <item x="34"/>
        <item x="271"/>
        <item x="170"/>
        <item x="125"/>
        <item x="204"/>
        <item x="238"/>
        <item x="102"/>
        <item x="73"/>
        <item x="148"/>
        <item x="94"/>
        <item x="269"/>
        <item x="6"/>
        <item x="201"/>
        <item x="157"/>
        <item x="257"/>
        <item x="122"/>
        <item x="179"/>
        <item x="43"/>
        <item x="246"/>
        <item x="167"/>
        <item x="110"/>
        <item x="17"/>
        <item x="235"/>
        <item x="134"/>
        <item x="58"/>
        <item x="82"/>
        <item x="225"/>
        <item x="70"/>
        <item x="213"/>
        <item x="279"/>
        <item x="145"/>
        <item x="26"/>
        <item x="190"/>
        <item x="221"/>
        <item x="54"/>
        <item x="107"/>
        <item x="36"/>
        <item x="186"/>
        <item x="253"/>
        <item x="153"/>
        <item x="78"/>
        <item x="130"/>
        <item x="287"/>
        <item x="242"/>
        <item x="66"/>
        <item x="209"/>
        <item x="20"/>
        <item x="163"/>
        <item x="90"/>
        <item x="232"/>
        <item x="11"/>
        <item x="142"/>
        <item x="175"/>
        <item x="198"/>
        <item x="49"/>
        <item x="265"/>
        <item x="118"/>
        <item t="default"/>
      </items>
    </pivotField>
    <pivotField showAll="0"/>
    <pivotField axis="axisRow" showAll="0">
      <items count="9">
        <item x="1"/>
        <item x="0"/>
        <item x="7"/>
        <item x="2"/>
        <item x="5"/>
        <item x="6"/>
        <item x="3"/>
        <item x="4"/>
        <item t="default"/>
      </items>
    </pivotField>
    <pivotField dataField="1" showAll="0"/>
    <pivotField showAll="0"/>
    <pivotField showAll="0"/>
    <pivotField showAll="0"/>
    <pivotField numFmtId="164" showAll="0"/>
    <pivotField showAll="0">
      <items count="5">
        <item x="0"/>
        <item x="3"/>
        <item x="2"/>
        <item x="1"/>
        <item t="default"/>
      </items>
    </pivotField>
    <pivotField showAll="0">
      <items count="7">
        <item x="0"/>
        <item x="3"/>
        <item x="1"/>
        <item x="4"/>
        <item x="5"/>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9">
    <i>
      <x/>
    </i>
    <i>
      <x v="1"/>
    </i>
    <i>
      <x v="2"/>
    </i>
    <i>
      <x v="3"/>
    </i>
    <i>
      <x v="4"/>
    </i>
    <i>
      <x v="5"/>
    </i>
    <i>
      <x v="6"/>
    </i>
    <i>
      <x v="7"/>
    </i>
    <i t="grand">
      <x/>
    </i>
  </rowItems>
  <colItems count="1">
    <i/>
  </colItems>
  <dataFields count="1">
    <dataField name="Sum of Quantity" fld="4" baseField="0" baseItem="0"/>
  </dataFields>
  <formats count="7">
    <format dxfId="500">
      <pivotArea outline="0" collapsedLevelsAreSubtotals="1" fieldPosition="0"/>
    </format>
    <format dxfId="501">
      <pivotArea type="all" dataOnly="0" outline="0" fieldPosition="0"/>
    </format>
    <format dxfId="502">
      <pivotArea outline="0" collapsedLevelsAreSubtotals="1" fieldPosition="0"/>
    </format>
    <format dxfId="503">
      <pivotArea field="3" type="button" dataOnly="0" labelOnly="1" outline="0" axis="axisRow" fieldPosition="0"/>
    </format>
    <format dxfId="504">
      <pivotArea dataOnly="0" labelOnly="1" fieldPosition="0">
        <references count="1">
          <reference field="3" count="0"/>
        </references>
      </pivotArea>
    </format>
    <format dxfId="505">
      <pivotArea dataOnly="0" labelOnly="1" grandRow="1" outline="0" fieldPosition="0"/>
    </format>
    <format dxfId="506">
      <pivotArea dataOnly="0" labelOnly="1" outline="0" axis="axisValues" fieldPosition="0"/>
    </format>
  </formats>
  <chartFormats count="18">
    <chartFormat chart="15" format="21" series="1">
      <pivotArea type="data" outline="0" fieldPosition="0">
        <references count="1">
          <reference field="4294967294" count="1" selected="0">
            <x v="0"/>
          </reference>
        </references>
      </pivotArea>
    </chartFormat>
    <chartFormat chart="15" format="22">
      <pivotArea type="data" outline="0" fieldPosition="0">
        <references count="2">
          <reference field="4294967294" count="1" selected="0">
            <x v="0"/>
          </reference>
          <reference field="3" count="1" selected="0">
            <x v="6"/>
          </reference>
        </references>
      </pivotArea>
    </chartFormat>
    <chartFormat chart="15" format="23">
      <pivotArea type="data" outline="0" fieldPosition="0">
        <references count="2">
          <reference field="4294967294" count="1" selected="0">
            <x v="0"/>
          </reference>
          <reference field="3" count="1" selected="0">
            <x v="7"/>
          </reference>
        </references>
      </pivotArea>
    </chartFormat>
    <chartFormat chart="15" format="24">
      <pivotArea type="data" outline="0" fieldPosition="0">
        <references count="2">
          <reference field="4294967294" count="1" selected="0">
            <x v="0"/>
          </reference>
          <reference field="3" count="1" selected="0">
            <x v="5"/>
          </reference>
        </references>
      </pivotArea>
    </chartFormat>
    <chartFormat chart="15" format="25">
      <pivotArea type="data" outline="0" fieldPosition="0">
        <references count="2">
          <reference field="4294967294" count="1" selected="0">
            <x v="0"/>
          </reference>
          <reference field="3" count="1" selected="0">
            <x v="4"/>
          </reference>
        </references>
      </pivotArea>
    </chartFormat>
    <chartFormat chart="15" format="26">
      <pivotArea type="data" outline="0" fieldPosition="0">
        <references count="2">
          <reference field="4294967294" count="1" selected="0">
            <x v="0"/>
          </reference>
          <reference field="3" count="1" selected="0">
            <x v="1"/>
          </reference>
        </references>
      </pivotArea>
    </chartFormat>
    <chartFormat chart="15" format="27">
      <pivotArea type="data" outline="0" fieldPosition="0">
        <references count="2">
          <reference field="4294967294" count="1" selected="0">
            <x v="0"/>
          </reference>
          <reference field="3" count="1" selected="0">
            <x v="2"/>
          </reference>
        </references>
      </pivotArea>
    </chartFormat>
    <chartFormat chart="15" format="28">
      <pivotArea type="data" outline="0" fieldPosition="0">
        <references count="2">
          <reference field="4294967294" count="1" selected="0">
            <x v="0"/>
          </reference>
          <reference field="3" count="1" selected="0">
            <x v="3"/>
          </reference>
        </references>
      </pivotArea>
    </chartFormat>
    <chartFormat chart="15" format="29">
      <pivotArea type="data" outline="0" fieldPosition="0">
        <references count="2">
          <reference field="4294967294" count="1" selected="0">
            <x v="0"/>
          </reference>
          <reference field="3" count="1" selected="0">
            <x v="0"/>
          </reference>
        </references>
      </pivotArea>
    </chartFormat>
    <chartFormat chart="21" format="39" series="1">
      <pivotArea type="data" outline="0" fieldPosition="0">
        <references count="1">
          <reference field="4294967294" count="1" selected="0">
            <x v="0"/>
          </reference>
        </references>
      </pivotArea>
    </chartFormat>
    <chartFormat chart="21" format="40">
      <pivotArea type="data" outline="0" fieldPosition="0">
        <references count="2">
          <reference field="4294967294" count="1" selected="0">
            <x v="0"/>
          </reference>
          <reference field="3" count="1" selected="0">
            <x v="0"/>
          </reference>
        </references>
      </pivotArea>
    </chartFormat>
    <chartFormat chart="21" format="41">
      <pivotArea type="data" outline="0" fieldPosition="0">
        <references count="2">
          <reference field="4294967294" count="1" selected="0">
            <x v="0"/>
          </reference>
          <reference field="3" count="1" selected="0">
            <x v="1"/>
          </reference>
        </references>
      </pivotArea>
    </chartFormat>
    <chartFormat chart="21" format="42">
      <pivotArea type="data" outline="0" fieldPosition="0">
        <references count="2">
          <reference field="4294967294" count="1" selected="0">
            <x v="0"/>
          </reference>
          <reference field="3" count="1" selected="0">
            <x v="2"/>
          </reference>
        </references>
      </pivotArea>
    </chartFormat>
    <chartFormat chart="21" format="43">
      <pivotArea type="data" outline="0" fieldPosition="0">
        <references count="2">
          <reference field="4294967294" count="1" selected="0">
            <x v="0"/>
          </reference>
          <reference field="3" count="1" selected="0">
            <x v="3"/>
          </reference>
        </references>
      </pivotArea>
    </chartFormat>
    <chartFormat chart="21" format="44">
      <pivotArea type="data" outline="0" fieldPosition="0">
        <references count="2">
          <reference field="4294967294" count="1" selected="0">
            <x v="0"/>
          </reference>
          <reference field="3" count="1" selected="0">
            <x v="4"/>
          </reference>
        </references>
      </pivotArea>
    </chartFormat>
    <chartFormat chart="21" format="45">
      <pivotArea type="data" outline="0" fieldPosition="0">
        <references count="2">
          <reference field="4294967294" count="1" selected="0">
            <x v="0"/>
          </reference>
          <reference field="3" count="1" selected="0">
            <x v="5"/>
          </reference>
        </references>
      </pivotArea>
    </chartFormat>
    <chartFormat chart="21" format="46">
      <pivotArea type="data" outline="0" fieldPosition="0">
        <references count="2">
          <reference field="4294967294" count="1" selected="0">
            <x v="0"/>
          </reference>
          <reference field="3" count="1" selected="0">
            <x v="6"/>
          </reference>
        </references>
      </pivotArea>
    </chartFormat>
    <chartFormat chart="21" format="47">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752948-2972-4087-B314-9B91D1D98B23}" name="PivotTable2"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B26" firstHeaderRow="1" firstDataRow="1" firstDataCol="1"/>
  <pivotFields count="13">
    <pivotField showAll="0"/>
    <pivotField numFmtId="14" showAll="0">
      <items count="289">
        <item x="126"/>
        <item x="283"/>
        <item x="74"/>
        <item x="217"/>
        <item x="40"/>
        <item x="239"/>
        <item x="14"/>
        <item x="194"/>
        <item x="103"/>
        <item x="272"/>
        <item x="50"/>
        <item x="183"/>
        <item x="249"/>
        <item x="149"/>
        <item x="32"/>
        <item x="205"/>
        <item x="86"/>
        <item x="171"/>
        <item x="229"/>
        <item x="2"/>
        <item x="62"/>
        <item x="160"/>
        <item x="261"/>
        <item x="138"/>
        <item x="98"/>
        <item x="114"/>
        <item x="154"/>
        <item x="67"/>
        <item x="243"/>
        <item x="187"/>
        <item x="79"/>
        <item x="131"/>
        <item x="44"/>
        <item x="222"/>
        <item x="108"/>
        <item x="29"/>
        <item x="233"/>
        <item x="176"/>
        <item x="8"/>
        <item x="164"/>
        <item x="55"/>
        <item x="199"/>
        <item x="21"/>
        <item x="254"/>
        <item x="119"/>
        <item x="276"/>
        <item x="210"/>
        <item x="91"/>
        <item x="266"/>
        <item x="12"/>
        <item x="172"/>
        <item x="115"/>
        <item x="75"/>
        <item x="195"/>
        <item x="139"/>
        <item x="63"/>
        <item x="240"/>
        <item x="273"/>
        <item x="0"/>
        <item x="35"/>
        <item x="262"/>
        <item x="104"/>
        <item x="127"/>
        <item x="24"/>
        <item x="206"/>
        <item x="250"/>
        <item x="87"/>
        <item x="218"/>
        <item x="150"/>
        <item x="284"/>
        <item x="51"/>
        <item x="99"/>
        <item x="135"/>
        <item x="59"/>
        <item x="191"/>
        <item x="258"/>
        <item x="27"/>
        <item x="202"/>
        <item x="146"/>
        <item x="83"/>
        <item x="4"/>
        <item x="180"/>
        <item x="123"/>
        <item x="236"/>
        <item x="100"/>
        <item x="47"/>
        <item x="168"/>
        <item x="214"/>
        <item x="71"/>
        <item x="280"/>
        <item x="111"/>
        <item x="95"/>
        <item x="226"/>
        <item x="18"/>
        <item x="38"/>
        <item x="120"/>
        <item x="277"/>
        <item x="15"/>
        <item x="200"/>
        <item x="211"/>
        <item x="143"/>
        <item x="234"/>
        <item x="177"/>
        <item x="56"/>
        <item x="80"/>
        <item x="30"/>
        <item x="255"/>
        <item x="155"/>
        <item x="92"/>
        <item x="244"/>
        <item x="223"/>
        <item x="41"/>
        <item x="188"/>
        <item x="68"/>
        <item x="165"/>
        <item x="132"/>
        <item x="9"/>
        <item x="267"/>
        <item x="285"/>
        <item x="33"/>
        <item x="173"/>
        <item x="219"/>
        <item x="274"/>
        <item x="140"/>
        <item x="230"/>
        <item x="52"/>
        <item x="161"/>
        <item x="22"/>
        <item x="116"/>
        <item x="128"/>
        <item x="184"/>
        <item x="241"/>
        <item x="76"/>
        <item x="45"/>
        <item x="7"/>
        <item x="196"/>
        <item x="105"/>
        <item x="263"/>
        <item x="151"/>
        <item x="251"/>
        <item x="88"/>
        <item x="207"/>
        <item x="64"/>
        <item x="37"/>
        <item x="1"/>
        <item x="227"/>
        <item x="96"/>
        <item x="112"/>
        <item x="169"/>
        <item x="270"/>
        <item x="72"/>
        <item x="237"/>
        <item x="147"/>
        <item x="215"/>
        <item x="25"/>
        <item x="281"/>
        <item x="136"/>
        <item x="101"/>
        <item x="13"/>
        <item x="181"/>
        <item x="158"/>
        <item x="247"/>
        <item x="192"/>
        <item x="60"/>
        <item x="203"/>
        <item x="124"/>
        <item x="84"/>
        <item x="259"/>
        <item x="224"/>
        <item x="69"/>
        <item x="189"/>
        <item x="133"/>
        <item x="245"/>
        <item x="81"/>
        <item x="16"/>
        <item x="156"/>
        <item x="109"/>
        <item x="278"/>
        <item x="212"/>
        <item x="144"/>
        <item x="93"/>
        <item x="3"/>
        <item x="178"/>
        <item x="121"/>
        <item x="256"/>
        <item x="57"/>
        <item x="268"/>
        <item x="31"/>
        <item x="166"/>
        <item x="42"/>
        <item x="231"/>
        <item x="162"/>
        <item x="89"/>
        <item x="129"/>
        <item x="252"/>
        <item x="65"/>
        <item x="10"/>
        <item x="106"/>
        <item x="208"/>
        <item x="39"/>
        <item x="185"/>
        <item x="286"/>
        <item x="197"/>
        <item x="152"/>
        <item x="28"/>
        <item x="275"/>
        <item x="53"/>
        <item x="264"/>
        <item x="117"/>
        <item x="48"/>
        <item x="220"/>
        <item x="77"/>
        <item x="23"/>
        <item x="141"/>
        <item x="174"/>
        <item x="113"/>
        <item x="46"/>
        <item x="19"/>
        <item x="182"/>
        <item x="137"/>
        <item x="228"/>
        <item x="248"/>
        <item x="85"/>
        <item x="282"/>
        <item x="260"/>
        <item x="5"/>
        <item x="193"/>
        <item x="61"/>
        <item x="216"/>
        <item x="97"/>
        <item x="159"/>
        <item x="34"/>
        <item x="271"/>
        <item x="170"/>
        <item x="125"/>
        <item x="204"/>
        <item x="238"/>
        <item x="102"/>
        <item x="73"/>
        <item x="148"/>
        <item x="94"/>
        <item x="269"/>
        <item x="6"/>
        <item x="201"/>
        <item x="157"/>
        <item x="257"/>
        <item x="122"/>
        <item x="179"/>
        <item x="43"/>
        <item x="246"/>
        <item x="167"/>
        <item x="110"/>
        <item x="17"/>
        <item x="235"/>
        <item x="134"/>
        <item x="58"/>
        <item x="82"/>
        <item x="225"/>
        <item x="70"/>
        <item x="213"/>
        <item x="279"/>
        <item x="145"/>
        <item x="26"/>
        <item x="190"/>
        <item x="221"/>
        <item x="54"/>
        <item x="107"/>
        <item x="36"/>
        <item x="186"/>
        <item x="253"/>
        <item x="153"/>
        <item x="78"/>
        <item x="130"/>
        <item x="287"/>
        <item x="242"/>
        <item x="66"/>
        <item x="209"/>
        <item x="20"/>
        <item x="163"/>
        <item x="90"/>
        <item x="232"/>
        <item x="11"/>
        <item x="142"/>
        <item x="175"/>
        <item x="198"/>
        <item x="49"/>
        <item x="265"/>
        <item x="118"/>
        <item t="default"/>
      </items>
    </pivotField>
    <pivotField showAll="0"/>
    <pivotField showAll="0">
      <items count="9">
        <item x="1"/>
        <item x="0"/>
        <item x="7"/>
        <item x="2"/>
        <item x="5"/>
        <item x="6"/>
        <item x="3"/>
        <item x="4"/>
        <item t="default"/>
      </items>
    </pivotField>
    <pivotField showAll="0"/>
    <pivotField showAll="0"/>
    <pivotField showAll="0"/>
    <pivotField showAll="0"/>
    <pivotField dataField="1" numFmtId="164" showAll="0"/>
    <pivotField showAll="0">
      <items count="5">
        <item x="0"/>
        <item x="3"/>
        <item x="2"/>
        <item x="1"/>
        <item t="default"/>
      </items>
    </pivotField>
    <pivotField showAll="0">
      <items count="7">
        <item x="0"/>
        <item x="3"/>
        <item x="1"/>
        <item x="4"/>
        <item x="5"/>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Final Price" fld="8" baseField="0" baseItem="0" numFmtId="165"/>
  </dataFields>
  <formats count="9">
    <format dxfId="511">
      <pivotArea outline="0" collapsedLevelsAreSubtotals="1" fieldPosition="0"/>
    </format>
    <format dxfId="512">
      <pivotArea type="all" dataOnly="0" outline="0" fieldPosition="0"/>
    </format>
    <format dxfId="513">
      <pivotArea outline="0" collapsedLevelsAreSubtotals="1" fieldPosition="0"/>
    </format>
    <format dxfId="514">
      <pivotArea field="12" type="button" dataOnly="0" labelOnly="1" outline="0" axis="axisRow" fieldPosition="0"/>
    </format>
    <format dxfId="515">
      <pivotArea dataOnly="0" labelOnly="1" fieldPosition="0">
        <references count="1">
          <reference field="12" count="12">
            <x v="1"/>
            <x v="2"/>
            <x v="3"/>
            <x v="4"/>
            <x v="5"/>
            <x v="6"/>
            <x v="7"/>
            <x v="8"/>
            <x v="9"/>
            <x v="10"/>
            <x v="11"/>
            <x v="12"/>
          </reference>
        </references>
      </pivotArea>
    </format>
    <format dxfId="516">
      <pivotArea dataOnly="0" labelOnly="1" grandRow="1" outline="0" fieldPosition="0"/>
    </format>
    <format dxfId="517">
      <pivotArea dataOnly="0" labelOnly="1" outline="0" axis="axisValues" fieldPosition="0"/>
    </format>
    <format dxfId="518">
      <pivotArea grandRow="1" outline="0" collapsedLevelsAreSubtotals="1" fieldPosition="0"/>
    </format>
    <format dxfId="519">
      <pivotArea collapsedLevelsAreSubtotals="1" fieldPosition="0">
        <references count="1">
          <reference field="12" count="12">
            <x v="1"/>
            <x v="2"/>
            <x v="3"/>
            <x v="4"/>
            <x v="5"/>
            <x v="6"/>
            <x v="7"/>
            <x v="8"/>
            <x v="9"/>
            <x v="10"/>
            <x v="11"/>
            <x v="12"/>
          </reference>
        </references>
      </pivotArea>
    </format>
  </formats>
  <chartFormats count="2">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3EF876A-60BA-4022-835B-DBDF8CD038A1}" sourceName="Months (Date)">
  <pivotTables>
    <pivotTable tabId="2" name="PivotTable2"/>
    <pivotTable tabId="2" name="PivotTable1"/>
    <pivotTable tabId="2" name="PivotTable3"/>
    <pivotTable tabId="2" name="PivotTable5"/>
    <pivotTable tabId="2" name="PivotTable7"/>
    <pivotTable tabId="2" name="PivotTable8"/>
    <pivotTable tabId="2" name="PivotTable9"/>
  </pivotTables>
  <data>
    <tabular pivotCacheId="1951156550">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FCC4E0-B72D-43A6-BA4B-C2F267985905}" sourceName="Category">
  <pivotTables>
    <pivotTable tabId="2" name="PivotTable3"/>
    <pivotTable tabId="2" name="PivotTable1"/>
    <pivotTable tabId="2" name="PivotTable2"/>
    <pivotTable tabId="2" name="PivotTable5"/>
    <pivotTable tabId="2" name="PivotTable7"/>
    <pivotTable tabId="2" name="PivotTable8"/>
    <pivotTable tabId="2" name="PivotTable9"/>
  </pivotTables>
  <data>
    <tabular pivotCacheId="1951156550">
      <items count="8">
        <i x="1" s="1"/>
        <i x="0" s="1"/>
        <i x="7" s="1"/>
        <i x="2" s="1"/>
        <i x="5" s="1"/>
        <i x="6"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9EF0DD8-1CDA-443F-A50B-63509D7363F3}" sourceName="Payment Method">
  <pivotTables>
    <pivotTable tabId="2" name="PivotTable5"/>
    <pivotTable tabId="2" name="PivotTable1"/>
    <pivotTable tabId="2" name="PivotTable2"/>
    <pivotTable tabId="2" name="PivotTable3"/>
    <pivotTable tabId="2" name="PivotTable7"/>
    <pivotTable tabId="2" name="PivotTable8"/>
    <pivotTable tabId="2" name="PivotTable9"/>
  </pivotTables>
  <data>
    <tabular pivotCacheId="1951156550">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E60243FA-C3EF-4457-9098-A5787DBCC76E}" cache="Slicer_Months__Date" caption="Months (Date)" rowHeight="234950"/>
  <slicer name="Category" xr10:uid="{1E093166-33D9-4604-990F-A274981F3255}" cache="Slicer_Category" caption="Category" rowHeight="234950"/>
  <slicer name="Payment Method" xr10:uid="{8BCF4455-1E30-4627-B9B8-375BEF459684}" cache="Slicer_Payment_Method" caption="Payment 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5F22F2C-93BD-4D65-AEF3-47D158F708C2}" cache="Slicer_Months__Date" caption="Months (Date)" columnCount="2" style="Slicer Style 1" rowHeight="234950"/>
  <slicer name="Category 1" xr10:uid="{C5D564A4-5AFA-4BE9-BE34-10380A690BAD}" cache="Slicer_Category" caption="Category" columnCount="2" style="Slicer Style 1" rowHeight="234950"/>
  <slicer name="Payment Method 1" xr10:uid="{DC196D59-AB34-4818-9E5C-86FB4FFAFA3E}" cache="Slicer_Payment_Method" caption="Payment Metho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87BA04-D334-43A3-AEEF-3BCABAC76D00}" name="Table1" displayName="Table1" ref="A1:K301" totalsRowShown="0">
  <autoFilter ref="A1:K301" xr:uid="{BA87BA04-D334-43A3-AEEF-3BCABAC76D00}"/>
  <tableColumns count="11">
    <tableColumn id="1" xr3:uid="{225B16C4-51B2-492D-AD6D-F7C25693F4B4}" name="Invoice ID"/>
    <tableColumn id="2" xr3:uid="{038AD0FA-75BE-4D4B-8A09-848962511BFE}" name="Date" dataDxfId="524"/>
    <tableColumn id="3" xr3:uid="{81AF805C-2975-4EBD-B47B-B1C719576D94}" name="Product"/>
    <tableColumn id="4" xr3:uid="{54EC7E01-64F8-49CF-93AF-3D57B82A88D2}" name="Category"/>
    <tableColumn id="5" xr3:uid="{432E6F0C-DAE9-483D-B55C-D637143D161B}" name="Quantity"/>
    <tableColumn id="6" xr3:uid="{73AF849E-56F1-4BF6-8A8F-F4BBE07FC875}" name="Unit Price" dataDxfId="522"/>
    <tableColumn id="7" xr3:uid="{5C277E58-0F10-40BD-A439-C34879111CF6}" name="Gross Total"/>
    <tableColumn id="8" xr3:uid="{523B7E4D-46BD-47DD-998A-F592424F7F96}" name="Discount"/>
    <tableColumn id="9" xr3:uid="{78A36B1E-FBBC-481E-8DAB-7E29534D3F23}" name="Final Price" dataDxfId="523"/>
    <tableColumn id="10" xr3:uid="{E0A4F677-AA9F-4F85-AF6A-965CDAA84CF4}" name="Payment Method"/>
    <tableColumn id="11" xr3:uid="{9A77F749-55F3-4CA5-AC1B-7EF5B666EC90}"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F314-62EA-45B2-862E-D06E20584C95}">
  <dimension ref="A1:K301"/>
  <sheetViews>
    <sheetView workbookViewId="0">
      <selection activeCell="N9" sqref="N9"/>
    </sheetView>
  </sheetViews>
  <sheetFormatPr defaultRowHeight="14.4" x14ac:dyDescent="0.3"/>
  <cols>
    <col min="1" max="1" width="11" customWidth="1"/>
    <col min="2" max="2" width="13.44140625" customWidth="1"/>
    <col min="3" max="3" width="24.77734375" customWidth="1"/>
    <col min="4" max="4" width="16.109375" customWidth="1"/>
    <col min="5" max="5" width="12.33203125" customWidth="1"/>
    <col min="6" max="6" width="13.109375" style="6" customWidth="1"/>
    <col min="7" max="7" width="12.109375" customWidth="1"/>
    <col min="8" max="8" width="12" customWidth="1"/>
    <col min="9" max="9" width="13.6640625" style="5" customWidth="1"/>
    <col min="10" max="10" width="16.88671875" customWidth="1"/>
    <col min="11" max="11" width="12.77734375" customWidth="1"/>
  </cols>
  <sheetData>
    <row r="1" spans="1:11" x14ac:dyDescent="0.3">
      <c r="A1" t="s">
        <v>0</v>
      </c>
      <c r="B1" t="s">
        <v>1</v>
      </c>
      <c r="C1" t="s">
        <v>2</v>
      </c>
      <c r="D1" t="s">
        <v>3</v>
      </c>
      <c r="E1" t="s">
        <v>4</v>
      </c>
      <c r="F1" s="6" t="s">
        <v>5</v>
      </c>
      <c r="G1" t="s">
        <v>6</v>
      </c>
      <c r="H1" t="s">
        <v>7</v>
      </c>
      <c r="I1" s="5" t="s">
        <v>8</v>
      </c>
      <c r="J1" t="s">
        <v>9</v>
      </c>
      <c r="K1" t="s">
        <v>10</v>
      </c>
    </row>
    <row r="2" spans="1:11" x14ac:dyDescent="0.3">
      <c r="A2">
        <v>1</v>
      </c>
      <c r="B2" s="1">
        <v>45366</v>
      </c>
      <c r="C2" t="s">
        <v>11</v>
      </c>
      <c r="D2" t="s">
        <v>12</v>
      </c>
      <c r="E2">
        <v>2</v>
      </c>
      <c r="F2" s="6">
        <v>145.5</v>
      </c>
      <c r="G2">
        <v>291</v>
      </c>
      <c r="H2">
        <v>29.1</v>
      </c>
      <c r="I2" s="5">
        <v>261.89999999999998</v>
      </c>
      <c r="J2" t="s">
        <v>13</v>
      </c>
      <c r="K2" t="s">
        <v>14</v>
      </c>
    </row>
    <row r="3" spans="1:11" x14ac:dyDescent="0.3">
      <c r="A3">
        <v>2</v>
      </c>
      <c r="B3" s="1">
        <v>45475</v>
      </c>
      <c r="C3" t="s">
        <v>15</v>
      </c>
      <c r="D3" t="s">
        <v>16</v>
      </c>
      <c r="E3">
        <v>1</v>
      </c>
      <c r="F3" s="6">
        <v>89</v>
      </c>
      <c r="G3">
        <v>89</v>
      </c>
      <c r="H3">
        <v>8.9</v>
      </c>
      <c r="I3" s="5">
        <v>80.099999999999994</v>
      </c>
      <c r="J3" t="s">
        <v>17</v>
      </c>
      <c r="K3" t="s">
        <v>18</v>
      </c>
    </row>
    <row r="4" spans="1:11" x14ac:dyDescent="0.3">
      <c r="A4">
        <v>3</v>
      </c>
      <c r="B4" s="1">
        <v>45315</v>
      </c>
      <c r="C4" t="s">
        <v>19</v>
      </c>
      <c r="D4" t="s">
        <v>20</v>
      </c>
      <c r="E4">
        <v>4</v>
      </c>
      <c r="F4" s="6">
        <v>52</v>
      </c>
      <c r="G4">
        <v>208</v>
      </c>
      <c r="H4">
        <v>5.2</v>
      </c>
      <c r="I4" s="5">
        <v>202.8</v>
      </c>
      <c r="J4" t="s">
        <v>21</v>
      </c>
      <c r="K4" t="s">
        <v>22</v>
      </c>
    </row>
    <row r="5" spans="1:11" x14ac:dyDescent="0.3">
      <c r="A5">
        <v>4</v>
      </c>
      <c r="B5" s="1">
        <v>45521</v>
      </c>
      <c r="C5" t="s">
        <v>23</v>
      </c>
      <c r="D5" t="s">
        <v>24</v>
      </c>
      <c r="E5">
        <v>3</v>
      </c>
      <c r="F5" s="6">
        <v>110.75</v>
      </c>
      <c r="G5">
        <v>332.25</v>
      </c>
      <c r="H5">
        <v>33.22</v>
      </c>
      <c r="I5" s="5">
        <v>299.02999999999997</v>
      </c>
      <c r="J5" t="s">
        <v>25</v>
      </c>
      <c r="K5" t="s">
        <v>26</v>
      </c>
    </row>
    <row r="6" spans="1:11" x14ac:dyDescent="0.3">
      <c r="A6">
        <v>5</v>
      </c>
      <c r="B6" s="1">
        <v>45391</v>
      </c>
      <c r="C6" t="s">
        <v>27</v>
      </c>
      <c r="D6" t="s">
        <v>28</v>
      </c>
      <c r="E6">
        <v>2</v>
      </c>
      <c r="F6" s="6">
        <v>38</v>
      </c>
      <c r="G6">
        <v>76</v>
      </c>
      <c r="H6">
        <v>3.8</v>
      </c>
      <c r="I6" s="5">
        <v>72.2</v>
      </c>
      <c r="J6" t="s">
        <v>13</v>
      </c>
      <c r="K6" t="s">
        <v>29</v>
      </c>
    </row>
    <row r="7" spans="1:11" x14ac:dyDescent="0.3">
      <c r="A7">
        <v>6</v>
      </c>
      <c r="B7" s="1">
        <v>45577</v>
      </c>
      <c r="C7" t="s">
        <v>30</v>
      </c>
      <c r="D7" t="s">
        <v>31</v>
      </c>
      <c r="E7">
        <v>1</v>
      </c>
      <c r="F7" s="6">
        <v>320.5</v>
      </c>
      <c r="G7">
        <v>320.5</v>
      </c>
      <c r="H7">
        <v>16.03</v>
      </c>
      <c r="I7" s="5">
        <v>304.47000000000003</v>
      </c>
      <c r="J7" t="s">
        <v>17</v>
      </c>
      <c r="K7" t="s">
        <v>32</v>
      </c>
    </row>
    <row r="8" spans="1:11" x14ac:dyDescent="0.3">
      <c r="A8">
        <v>7</v>
      </c>
      <c r="B8" s="1">
        <v>45599</v>
      </c>
      <c r="C8" t="s">
        <v>33</v>
      </c>
      <c r="D8" t="s">
        <v>34</v>
      </c>
      <c r="E8">
        <v>3</v>
      </c>
      <c r="F8" s="6">
        <v>199.9</v>
      </c>
      <c r="G8">
        <v>599.70000000000005</v>
      </c>
      <c r="H8">
        <v>29.99</v>
      </c>
      <c r="I8" s="5">
        <v>569.71</v>
      </c>
      <c r="J8" t="s">
        <v>25</v>
      </c>
      <c r="K8" t="s">
        <v>14</v>
      </c>
    </row>
    <row r="9" spans="1:11" x14ac:dyDescent="0.3">
      <c r="A9">
        <v>8</v>
      </c>
      <c r="B9" s="1">
        <v>45464</v>
      </c>
      <c r="C9" t="s">
        <v>35</v>
      </c>
      <c r="D9" t="s">
        <v>24</v>
      </c>
      <c r="E9">
        <v>2</v>
      </c>
      <c r="F9" s="6">
        <v>65.5</v>
      </c>
      <c r="G9">
        <v>131</v>
      </c>
      <c r="H9">
        <v>6.55</v>
      </c>
      <c r="I9" s="5">
        <v>124.45</v>
      </c>
      <c r="J9" t="s">
        <v>13</v>
      </c>
      <c r="K9" t="s">
        <v>18</v>
      </c>
    </row>
    <row r="10" spans="1:11" x14ac:dyDescent="0.3">
      <c r="A10">
        <v>9</v>
      </c>
      <c r="B10" s="1">
        <v>45336</v>
      </c>
      <c r="C10" t="s">
        <v>36</v>
      </c>
      <c r="D10" t="s">
        <v>20</v>
      </c>
      <c r="E10">
        <v>1</v>
      </c>
      <c r="F10" s="6">
        <v>120</v>
      </c>
      <c r="G10">
        <v>120</v>
      </c>
      <c r="H10">
        <v>6</v>
      </c>
      <c r="I10" s="5">
        <v>114</v>
      </c>
      <c r="J10" t="s">
        <v>21</v>
      </c>
      <c r="K10" t="s">
        <v>22</v>
      </c>
    </row>
    <row r="11" spans="1:11" x14ac:dyDescent="0.3">
      <c r="A11">
        <v>10</v>
      </c>
      <c r="B11" s="1">
        <v>45440</v>
      </c>
      <c r="C11" t="s">
        <v>37</v>
      </c>
      <c r="D11" t="s">
        <v>16</v>
      </c>
      <c r="E11">
        <v>5</v>
      </c>
      <c r="F11" s="6">
        <v>45</v>
      </c>
      <c r="G11">
        <v>225</v>
      </c>
      <c r="H11">
        <v>11.25</v>
      </c>
      <c r="I11" s="5">
        <v>213.75</v>
      </c>
      <c r="J11" t="s">
        <v>17</v>
      </c>
      <c r="K11" t="s">
        <v>26</v>
      </c>
    </row>
    <row r="12" spans="1:11" x14ac:dyDescent="0.3">
      <c r="A12">
        <v>11</v>
      </c>
      <c r="B12" s="1">
        <v>45542</v>
      </c>
      <c r="C12" t="s">
        <v>38</v>
      </c>
      <c r="D12" t="s">
        <v>12</v>
      </c>
      <c r="E12">
        <v>3</v>
      </c>
      <c r="F12" s="6">
        <v>98.75</v>
      </c>
      <c r="G12">
        <v>296.25</v>
      </c>
      <c r="H12">
        <v>14.81</v>
      </c>
      <c r="I12" s="5">
        <v>281.44</v>
      </c>
      <c r="J12" t="s">
        <v>25</v>
      </c>
      <c r="K12" t="s">
        <v>32</v>
      </c>
    </row>
    <row r="13" spans="1:11" x14ac:dyDescent="0.3">
      <c r="A13">
        <v>12</v>
      </c>
      <c r="B13" s="1">
        <v>45648</v>
      </c>
      <c r="C13" t="s">
        <v>39</v>
      </c>
      <c r="D13" t="s">
        <v>28</v>
      </c>
      <c r="E13">
        <v>2</v>
      </c>
      <c r="F13" s="6">
        <v>42.5</v>
      </c>
      <c r="G13">
        <v>85</v>
      </c>
      <c r="H13">
        <v>4.25</v>
      </c>
      <c r="I13" s="5">
        <v>80.75</v>
      </c>
      <c r="J13" t="s">
        <v>13</v>
      </c>
      <c r="K13" t="s">
        <v>29</v>
      </c>
    </row>
    <row r="14" spans="1:11" x14ac:dyDescent="0.3">
      <c r="A14">
        <v>13</v>
      </c>
      <c r="B14" s="1">
        <v>45354</v>
      </c>
      <c r="C14" t="s">
        <v>40</v>
      </c>
      <c r="D14" t="s">
        <v>41</v>
      </c>
      <c r="E14">
        <v>1</v>
      </c>
      <c r="F14" s="6">
        <v>210</v>
      </c>
      <c r="G14">
        <v>210</v>
      </c>
      <c r="H14">
        <v>10.5</v>
      </c>
      <c r="I14" s="5">
        <v>199.5</v>
      </c>
      <c r="J14" t="s">
        <v>21</v>
      </c>
      <c r="K14" t="s">
        <v>14</v>
      </c>
    </row>
    <row r="15" spans="1:11" x14ac:dyDescent="0.3">
      <c r="A15">
        <v>14</v>
      </c>
      <c r="B15" s="1">
        <v>45492</v>
      </c>
      <c r="C15" t="s">
        <v>42</v>
      </c>
      <c r="D15" t="s">
        <v>24</v>
      </c>
      <c r="E15">
        <v>4</v>
      </c>
      <c r="F15" s="6">
        <v>88</v>
      </c>
      <c r="G15">
        <v>352</v>
      </c>
      <c r="H15">
        <v>8.8000000000000007</v>
      </c>
      <c r="I15" s="5">
        <v>343.2</v>
      </c>
      <c r="J15" t="s">
        <v>13</v>
      </c>
      <c r="K15" t="s">
        <v>22</v>
      </c>
    </row>
    <row r="16" spans="1:11" x14ac:dyDescent="0.3">
      <c r="A16">
        <v>15</v>
      </c>
      <c r="B16" s="1">
        <v>45301</v>
      </c>
      <c r="C16" t="s">
        <v>43</v>
      </c>
      <c r="D16" t="s">
        <v>31</v>
      </c>
      <c r="E16">
        <v>2</v>
      </c>
      <c r="F16" s="6">
        <v>245.5</v>
      </c>
      <c r="G16">
        <v>491</v>
      </c>
      <c r="H16">
        <v>12.27</v>
      </c>
      <c r="I16" s="5">
        <v>478.73</v>
      </c>
      <c r="J16" t="s">
        <v>17</v>
      </c>
      <c r="K16" t="s">
        <v>32</v>
      </c>
    </row>
    <row r="17" spans="1:11" x14ac:dyDescent="0.3">
      <c r="A17">
        <v>16</v>
      </c>
      <c r="B17" s="1">
        <v>45417</v>
      </c>
      <c r="C17" t="s">
        <v>44</v>
      </c>
      <c r="D17" t="s">
        <v>12</v>
      </c>
      <c r="E17">
        <v>1</v>
      </c>
      <c r="F17" s="6">
        <v>155</v>
      </c>
      <c r="G17">
        <v>155</v>
      </c>
      <c r="H17">
        <v>7.75</v>
      </c>
      <c r="I17" s="5">
        <v>147.25</v>
      </c>
      <c r="J17" t="s">
        <v>25</v>
      </c>
      <c r="K17" t="s">
        <v>18</v>
      </c>
    </row>
    <row r="18" spans="1:11" x14ac:dyDescent="0.3">
      <c r="A18">
        <v>17</v>
      </c>
      <c r="B18" s="1">
        <v>45513</v>
      </c>
      <c r="C18" t="s">
        <v>45</v>
      </c>
      <c r="D18" t="s">
        <v>20</v>
      </c>
      <c r="E18">
        <v>3</v>
      </c>
      <c r="F18" s="6">
        <v>72</v>
      </c>
      <c r="G18">
        <v>216</v>
      </c>
      <c r="H18">
        <v>5.4</v>
      </c>
      <c r="I18" s="5">
        <v>210.6</v>
      </c>
      <c r="J18" t="s">
        <v>13</v>
      </c>
      <c r="K18" t="s">
        <v>26</v>
      </c>
    </row>
    <row r="19" spans="1:11" x14ac:dyDescent="0.3">
      <c r="A19">
        <v>18</v>
      </c>
      <c r="B19" s="1">
        <v>45611</v>
      </c>
      <c r="C19" t="s">
        <v>46</v>
      </c>
      <c r="D19" t="s">
        <v>16</v>
      </c>
      <c r="E19">
        <v>2</v>
      </c>
      <c r="F19" s="6">
        <v>92</v>
      </c>
      <c r="G19">
        <v>184</v>
      </c>
      <c r="H19">
        <v>9.1999999999999993</v>
      </c>
      <c r="I19" s="5">
        <v>174.8</v>
      </c>
      <c r="J19" t="s">
        <v>21</v>
      </c>
      <c r="K19" t="s">
        <v>29</v>
      </c>
    </row>
    <row r="20" spans="1:11" x14ac:dyDescent="0.3">
      <c r="A20">
        <v>19</v>
      </c>
      <c r="B20" s="1">
        <v>45408</v>
      </c>
      <c r="C20" t="s">
        <v>47</v>
      </c>
      <c r="D20" t="s">
        <v>34</v>
      </c>
      <c r="E20">
        <v>1</v>
      </c>
      <c r="F20" s="6">
        <v>350</v>
      </c>
      <c r="G20">
        <v>350</v>
      </c>
      <c r="H20">
        <v>17.5</v>
      </c>
      <c r="I20" s="5">
        <v>332.5</v>
      </c>
      <c r="J20" t="s">
        <v>17</v>
      </c>
      <c r="K20" t="s">
        <v>14</v>
      </c>
    </row>
    <row r="21" spans="1:11" x14ac:dyDescent="0.3">
      <c r="A21">
        <v>20</v>
      </c>
      <c r="B21" s="1">
        <v>45568</v>
      </c>
      <c r="C21" t="s">
        <v>48</v>
      </c>
      <c r="D21" t="s">
        <v>24</v>
      </c>
      <c r="E21">
        <v>2</v>
      </c>
      <c r="F21" s="6">
        <v>75</v>
      </c>
      <c r="G21">
        <v>150</v>
      </c>
      <c r="H21">
        <v>3.75</v>
      </c>
      <c r="I21" s="5">
        <v>146.25</v>
      </c>
      <c r="J21" t="s">
        <v>13</v>
      </c>
      <c r="K21" t="s">
        <v>18</v>
      </c>
    </row>
    <row r="22" spans="1:11" x14ac:dyDescent="0.3">
      <c r="A22">
        <v>21</v>
      </c>
      <c r="B22" s="1">
        <v>45643</v>
      </c>
      <c r="C22" t="s">
        <v>49</v>
      </c>
      <c r="D22" t="s">
        <v>12</v>
      </c>
      <c r="E22">
        <v>5</v>
      </c>
      <c r="F22" s="6">
        <v>60</v>
      </c>
      <c r="G22">
        <v>300</v>
      </c>
      <c r="H22">
        <v>7.5</v>
      </c>
      <c r="I22" s="5">
        <v>292.5</v>
      </c>
      <c r="J22" t="s">
        <v>25</v>
      </c>
      <c r="K22" t="s">
        <v>22</v>
      </c>
    </row>
    <row r="23" spans="1:11" x14ac:dyDescent="0.3">
      <c r="A23">
        <v>22</v>
      </c>
      <c r="B23" s="1">
        <v>45342</v>
      </c>
      <c r="C23" t="s">
        <v>50</v>
      </c>
      <c r="D23" t="s">
        <v>20</v>
      </c>
      <c r="E23">
        <v>2</v>
      </c>
      <c r="F23" s="6">
        <v>95.5</v>
      </c>
      <c r="G23">
        <v>191</v>
      </c>
      <c r="H23">
        <v>4.78</v>
      </c>
      <c r="I23" s="5">
        <v>186.22</v>
      </c>
      <c r="J23" t="s">
        <v>17</v>
      </c>
      <c r="K23" t="s">
        <v>26</v>
      </c>
    </row>
    <row r="24" spans="1:11" x14ac:dyDescent="0.3">
      <c r="A24">
        <v>23</v>
      </c>
      <c r="B24" s="1">
        <v>45454</v>
      </c>
      <c r="C24" t="s">
        <v>51</v>
      </c>
      <c r="D24" t="s">
        <v>28</v>
      </c>
      <c r="E24">
        <v>3</v>
      </c>
      <c r="F24" s="6">
        <v>40</v>
      </c>
      <c r="G24">
        <v>120</v>
      </c>
      <c r="H24">
        <v>6</v>
      </c>
      <c r="I24" s="5">
        <v>114</v>
      </c>
      <c r="J24" t="s">
        <v>13</v>
      </c>
      <c r="K24" t="s">
        <v>29</v>
      </c>
    </row>
    <row r="25" spans="1:11" x14ac:dyDescent="0.3">
      <c r="A25">
        <v>24</v>
      </c>
      <c r="B25" s="1">
        <v>45563</v>
      </c>
      <c r="C25" t="s">
        <v>52</v>
      </c>
      <c r="D25" t="s">
        <v>31</v>
      </c>
      <c r="E25">
        <v>1</v>
      </c>
      <c r="F25" s="6">
        <v>410</v>
      </c>
      <c r="G25">
        <v>410</v>
      </c>
      <c r="H25">
        <v>20.5</v>
      </c>
      <c r="I25" s="5">
        <v>389.5</v>
      </c>
      <c r="J25" t="s">
        <v>25</v>
      </c>
      <c r="K25" t="s">
        <v>32</v>
      </c>
    </row>
    <row r="26" spans="1:11" x14ac:dyDescent="0.3">
      <c r="A26">
        <v>25</v>
      </c>
      <c r="B26" s="1">
        <v>45373</v>
      </c>
      <c r="C26" t="s">
        <v>53</v>
      </c>
      <c r="D26" t="s">
        <v>16</v>
      </c>
      <c r="E26">
        <v>4</v>
      </c>
      <c r="F26" s="6">
        <v>55</v>
      </c>
      <c r="G26">
        <v>220</v>
      </c>
      <c r="H26">
        <v>11</v>
      </c>
      <c r="I26" s="5">
        <v>209</v>
      </c>
      <c r="J26" t="s">
        <v>21</v>
      </c>
      <c r="K26" t="s">
        <v>14</v>
      </c>
    </row>
    <row r="27" spans="1:11" x14ac:dyDescent="0.3">
      <c r="A27">
        <v>26</v>
      </c>
      <c r="B27" s="1">
        <v>45487</v>
      </c>
      <c r="C27" t="s">
        <v>54</v>
      </c>
      <c r="D27" t="s">
        <v>12</v>
      </c>
      <c r="E27">
        <v>3</v>
      </c>
      <c r="F27" s="6">
        <v>105</v>
      </c>
      <c r="G27">
        <v>315</v>
      </c>
      <c r="H27">
        <v>15.75</v>
      </c>
      <c r="I27" s="5">
        <v>299.25</v>
      </c>
      <c r="J27" t="s">
        <v>13</v>
      </c>
      <c r="K27" t="s">
        <v>18</v>
      </c>
    </row>
    <row r="28" spans="1:11" x14ac:dyDescent="0.3">
      <c r="A28">
        <v>27</v>
      </c>
      <c r="B28" s="1">
        <v>45625</v>
      </c>
      <c r="C28" t="s">
        <v>55</v>
      </c>
      <c r="D28" t="s">
        <v>24</v>
      </c>
      <c r="E28">
        <v>1</v>
      </c>
      <c r="F28" s="6">
        <v>52</v>
      </c>
      <c r="G28">
        <v>52</v>
      </c>
      <c r="H28">
        <v>2.6</v>
      </c>
      <c r="I28" s="5">
        <v>49.4</v>
      </c>
      <c r="J28" t="s">
        <v>17</v>
      </c>
      <c r="K28" t="s">
        <v>22</v>
      </c>
    </row>
    <row r="29" spans="1:11" x14ac:dyDescent="0.3">
      <c r="A29">
        <v>28</v>
      </c>
      <c r="B29" s="1">
        <v>45387</v>
      </c>
      <c r="C29" t="s">
        <v>56</v>
      </c>
      <c r="D29" t="s">
        <v>20</v>
      </c>
      <c r="E29">
        <v>2</v>
      </c>
      <c r="F29" s="6">
        <v>88.5</v>
      </c>
      <c r="G29">
        <v>177</v>
      </c>
      <c r="H29">
        <v>8.85</v>
      </c>
      <c r="I29" s="5">
        <v>168.15</v>
      </c>
      <c r="J29" t="s">
        <v>25</v>
      </c>
      <c r="K29" t="s">
        <v>29</v>
      </c>
    </row>
    <row r="30" spans="1:11" x14ac:dyDescent="0.3">
      <c r="A30">
        <v>29</v>
      </c>
      <c r="B30" s="1">
        <v>45553</v>
      </c>
      <c r="C30" t="s">
        <v>57</v>
      </c>
      <c r="D30" t="s">
        <v>28</v>
      </c>
      <c r="E30">
        <v>1</v>
      </c>
      <c r="F30" s="6">
        <v>30</v>
      </c>
      <c r="G30">
        <v>30</v>
      </c>
      <c r="H30">
        <v>1.5</v>
      </c>
      <c r="I30" s="5">
        <v>28.5</v>
      </c>
      <c r="J30" t="s">
        <v>21</v>
      </c>
      <c r="K30" t="s">
        <v>14</v>
      </c>
    </row>
    <row r="31" spans="1:11" x14ac:dyDescent="0.3">
      <c r="A31">
        <v>30</v>
      </c>
      <c r="B31" s="1">
        <v>45333</v>
      </c>
      <c r="C31" t="s">
        <v>58</v>
      </c>
      <c r="D31" t="s">
        <v>31</v>
      </c>
      <c r="E31">
        <v>4</v>
      </c>
      <c r="F31" s="6">
        <v>310</v>
      </c>
      <c r="G31">
        <v>1240</v>
      </c>
      <c r="H31">
        <v>31</v>
      </c>
      <c r="I31" s="5">
        <v>1209</v>
      </c>
      <c r="J31" t="s">
        <v>13</v>
      </c>
      <c r="K31" t="s">
        <v>32</v>
      </c>
    </row>
    <row r="32" spans="1:11" x14ac:dyDescent="0.3">
      <c r="A32">
        <v>31</v>
      </c>
      <c r="B32" s="1">
        <v>45427</v>
      </c>
      <c r="C32" t="s">
        <v>59</v>
      </c>
      <c r="D32" t="s">
        <v>16</v>
      </c>
      <c r="E32">
        <v>2</v>
      </c>
      <c r="F32" s="6">
        <v>67.5</v>
      </c>
      <c r="G32">
        <v>135</v>
      </c>
      <c r="H32">
        <v>6.75</v>
      </c>
      <c r="I32" s="5">
        <v>128.25</v>
      </c>
      <c r="J32" t="s">
        <v>17</v>
      </c>
      <c r="K32" t="s">
        <v>26</v>
      </c>
    </row>
    <row r="33" spans="1:11" x14ac:dyDescent="0.3">
      <c r="A33">
        <v>32</v>
      </c>
      <c r="B33" s="1">
        <v>45530</v>
      </c>
      <c r="C33" t="s">
        <v>60</v>
      </c>
      <c r="D33" t="s">
        <v>34</v>
      </c>
      <c r="E33">
        <v>3</v>
      </c>
      <c r="F33" s="6">
        <v>220</v>
      </c>
      <c r="G33">
        <v>660</v>
      </c>
      <c r="H33">
        <v>33</v>
      </c>
      <c r="I33" s="5">
        <v>627</v>
      </c>
      <c r="J33" t="s">
        <v>25</v>
      </c>
      <c r="K33" t="s">
        <v>18</v>
      </c>
    </row>
    <row r="34" spans="1:11" x14ac:dyDescent="0.3">
      <c r="A34">
        <v>33</v>
      </c>
      <c r="B34" s="1">
        <v>45310</v>
      </c>
      <c r="C34" t="s">
        <v>61</v>
      </c>
      <c r="D34" t="s">
        <v>24</v>
      </c>
      <c r="E34">
        <v>2</v>
      </c>
      <c r="F34" s="6">
        <v>79.989999999999995</v>
      </c>
      <c r="G34">
        <v>159.97999999999999</v>
      </c>
      <c r="H34">
        <v>7.99</v>
      </c>
      <c r="I34" s="5">
        <v>151.99</v>
      </c>
      <c r="J34" t="s">
        <v>21</v>
      </c>
      <c r="K34" t="s">
        <v>22</v>
      </c>
    </row>
    <row r="35" spans="1:11" x14ac:dyDescent="0.3">
      <c r="A35">
        <v>34</v>
      </c>
      <c r="B35" s="1">
        <v>45446</v>
      </c>
      <c r="C35" t="s">
        <v>62</v>
      </c>
      <c r="D35" t="s">
        <v>41</v>
      </c>
      <c r="E35">
        <v>1</v>
      </c>
      <c r="F35" s="6">
        <v>250</v>
      </c>
      <c r="G35">
        <v>250</v>
      </c>
      <c r="H35">
        <v>12.5</v>
      </c>
      <c r="I35" s="5">
        <v>237.5</v>
      </c>
      <c r="J35" t="s">
        <v>13</v>
      </c>
      <c r="K35" t="s">
        <v>14</v>
      </c>
    </row>
    <row r="36" spans="1:11" x14ac:dyDescent="0.3">
      <c r="A36">
        <v>35</v>
      </c>
      <c r="B36" s="1">
        <v>45586</v>
      </c>
      <c r="C36" t="s">
        <v>63</v>
      </c>
      <c r="D36" t="s">
        <v>12</v>
      </c>
      <c r="E36">
        <v>2</v>
      </c>
      <c r="F36" s="6">
        <v>145</v>
      </c>
      <c r="G36">
        <v>290</v>
      </c>
      <c r="H36">
        <v>14.5</v>
      </c>
      <c r="I36" s="5">
        <v>275.5</v>
      </c>
      <c r="J36" t="s">
        <v>17</v>
      </c>
      <c r="K36" t="s">
        <v>29</v>
      </c>
    </row>
    <row r="37" spans="1:11" x14ac:dyDescent="0.3">
      <c r="A37">
        <v>36</v>
      </c>
      <c r="B37" s="1">
        <v>45368</v>
      </c>
      <c r="C37" t="s">
        <v>64</v>
      </c>
      <c r="D37" t="s">
        <v>20</v>
      </c>
      <c r="E37">
        <v>4</v>
      </c>
      <c r="F37" s="6">
        <v>49</v>
      </c>
      <c r="G37">
        <v>196</v>
      </c>
      <c r="H37">
        <v>9.8000000000000007</v>
      </c>
      <c r="I37" s="5">
        <v>186.2</v>
      </c>
      <c r="J37" t="s">
        <v>25</v>
      </c>
      <c r="K37" t="s">
        <v>26</v>
      </c>
    </row>
    <row r="38" spans="1:11" x14ac:dyDescent="0.3">
      <c r="A38">
        <v>37</v>
      </c>
      <c r="B38" s="1">
        <v>45632</v>
      </c>
      <c r="C38" t="s">
        <v>65</v>
      </c>
      <c r="D38" t="s">
        <v>24</v>
      </c>
      <c r="E38">
        <v>5</v>
      </c>
      <c r="F38" s="6">
        <v>60</v>
      </c>
      <c r="G38">
        <v>300</v>
      </c>
      <c r="H38">
        <v>15</v>
      </c>
      <c r="I38" s="5">
        <v>285</v>
      </c>
      <c r="J38" t="s">
        <v>21</v>
      </c>
      <c r="K38" t="s">
        <v>32</v>
      </c>
    </row>
    <row r="39" spans="1:11" x14ac:dyDescent="0.3">
      <c r="A39">
        <v>38</v>
      </c>
      <c r="B39" s="1">
        <v>45474</v>
      </c>
      <c r="C39" t="s">
        <v>66</v>
      </c>
      <c r="D39" t="s">
        <v>16</v>
      </c>
      <c r="E39">
        <v>1</v>
      </c>
      <c r="F39" s="6">
        <v>95</v>
      </c>
      <c r="G39">
        <v>95</v>
      </c>
      <c r="H39">
        <v>4.75</v>
      </c>
      <c r="I39" s="5">
        <v>90.25</v>
      </c>
      <c r="J39" t="s">
        <v>13</v>
      </c>
      <c r="K39" t="s">
        <v>18</v>
      </c>
    </row>
    <row r="40" spans="1:11" x14ac:dyDescent="0.3">
      <c r="A40">
        <v>39</v>
      </c>
      <c r="B40" s="1">
        <v>45409</v>
      </c>
      <c r="C40" t="s">
        <v>67</v>
      </c>
      <c r="D40" t="s">
        <v>28</v>
      </c>
      <c r="E40">
        <v>2</v>
      </c>
      <c r="F40" s="6">
        <v>36</v>
      </c>
      <c r="G40">
        <v>72</v>
      </c>
      <c r="H40">
        <v>3.6</v>
      </c>
      <c r="I40" s="5">
        <v>68.400000000000006</v>
      </c>
      <c r="J40" t="s">
        <v>17</v>
      </c>
      <c r="K40" t="s">
        <v>14</v>
      </c>
    </row>
    <row r="41" spans="1:11" x14ac:dyDescent="0.3">
      <c r="A41">
        <v>40</v>
      </c>
      <c r="B41" s="1">
        <v>45546</v>
      </c>
      <c r="C41" t="s">
        <v>68</v>
      </c>
      <c r="D41" t="s">
        <v>31</v>
      </c>
      <c r="E41">
        <v>3</v>
      </c>
      <c r="F41" s="6">
        <v>285</v>
      </c>
      <c r="G41">
        <v>855</v>
      </c>
      <c r="H41">
        <v>42.75</v>
      </c>
      <c r="I41" s="5">
        <v>812.25</v>
      </c>
      <c r="J41" t="s">
        <v>25</v>
      </c>
      <c r="K41" t="s">
        <v>22</v>
      </c>
    </row>
    <row r="42" spans="1:11" x14ac:dyDescent="0.3">
      <c r="A42">
        <v>41</v>
      </c>
      <c r="B42" s="1">
        <v>45299</v>
      </c>
      <c r="C42" t="s">
        <v>69</v>
      </c>
      <c r="D42" t="s">
        <v>12</v>
      </c>
      <c r="E42">
        <v>1</v>
      </c>
      <c r="F42" s="6">
        <v>150</v>
      </c>
      <c r="G42">
        <v>150</v>
      </c>
      <c r="H42">
        <v>7.5</v>
      </c>
      <c r="I42" s="5">
        <v>142.5</v>
      </c>
      <c r="J42" t="s">
        <v>13</v>
      </c>
      <c r="K42" t="s">
        <v>26</v>
      </c>
    </row>
    <row r="43" spans="1:11" x14ac:dyDescent="0.3">
      <c r="A43">
        <v>42</v>
      </c>
      <c r="B43" s="1">
        <v>45434</v>
      </c>
      <c r="C43" t="s">
        <v>70</v>
      </c>
      <c r="D43" t="s">
        <v>24</v>
      </c>
      <c r="E43">
        <v>3</v>
      </c>
      <c r="F43" s="6">
        <v>72.849999999999994</v>
      </c>
      <c r="G43">
        <v>218.55</v>
      </c>
      <c r="H43">
        <v>10.93</v>
      </c>
      <c r="I43" s="5">
        <v>207.62</v>
      </c>
      <c r="J43" t="s">
        <v>21</v>
      </c>
      <c r="K43" t="s">
        <v>29</v>
      </c>
    </row>
    <row r="44" spans="1:11" x14ac:dyDescent="0.3">
      <c r="A44">
        <v>43</v>
      </c>
      <c r="B44" s="1">
        <v>45534</v>
      </c>
      <c r="C44" t="s">
        <v>71</v>
      </c>
      <c r="D44" t="s">
        <v>20</v>
      </c>
      <c r="E44">
        <v>5</v>
      </c>
      <c r="F44" s="6">
        <v>55</v>
      </c>
      <c r="G44">
        <v>275</v>
      </c>
      <c r="H44">
        <v>13.75</v>
      </c>
      <c r="I44" s="5">
        <v>261.25</v>
      </c>
      <c r="J44" t="s">
        <v>17</v>
      </c>
      <c r="K44" t="s">
        <v>32</v>
      </c>
    </row>
    <row r="45" spans="1:11" x14ac:dyDescent="0.3">
      <c r="A45">
        <v>44</v>
      </c>
      <c r="B45" s="1">
        <v>45606</v>
      </c>
      <c r="C45" t="s">
        <v>72</v>
      </c>
      <c r="D45" t="s">
        <v>34</v>
      </c>
      <c r="E45">
        <v>1</v>
      </c>
      <c r="F45" s="6">
        <v>310</v>
      </c>
      <c r="G45">
        <v>310</v>
      </c>
      <c r="H45">
        <v>15.5</v>
      </c>
      <c r="I45" s="5">
        <v>294.5</v>
      </c>
      <c r="J45" t="s">
        <v>25</v>
      </c>
      <c r="K45" t="s">
        <v>18</v>
      </c>
    </row>
    <row r="46" spans="1:11" x14ac:dyDescent="0.3">
      <c r="A46">
        <v>45</v>
      </c>
      <c r="B46" s="1">
        <v>45329</v>
      </c>
      <c r="C46" t="s">
        <v>73</v>
      </c>
      <c r="D46" t="s">
        <v>41</v>
      </c>
      <c r="E46">
        <v>2</v>
      </c>
      <c r="F46" s="6">
        <v>180</v>
      </c>
      <c r="G46">
        <v>360</v>
      </c>
      <c r="H46">
        <v>18</v>
      </c>
      <c r="I46" s="5">
        <v>342</v>
      </c>
      <c r="J46" t="s">
        <v>17</v>
      </c>
      <c r="K46" t="s">
        <v>14</v>
      </c>
    </row>
    <row r="47" spans="1:11" x14ac:dyDescent="0.3">
      <c r="A47">
        <v>46</v>
      </c>
      <c r="B47" s="1">
        <v>45462</v>
      </c>
      <c r="C47" t="s">
        <v>74</v>
      </c>
      <c r="D47" t="s">
        <v>16</v>
      </c>
      <c r="E47">
        <v>4</v>
      </c>
      <c r="F47" s="6">
        <v>48</v>
      </c>
      <c r="G47">
        <v>192</v>
      </c>
      <c r="H47">
        <v>9.6</v>
      </c>
      <c r="I47" s="5">
        <v>182.4</v>
      </c>
      <c r="J47" t="s">
        <v>13</v>
      </c>
      <c r="K47" t="s">
        <v>26</v>
      </c>
    </row>
    <row r="48" spans="1:11" x14ac:dyDescent="0.3">
      <c r="A48">
        <v>47</v>
      </c>
      <c r="B48" s="1">
        <v>45567</v>
      </c>
      <c r="C48" t="s">
        <v>75</v>
      </c>
      <c r="D48" t="s">
        <v>28</v>
      </c>
      <c r="E48">
        <v>1</v>
      </c>
      <c r="F48" s="6">
        <v>28.5</v>
      </c>
      <c r="G48">
        <v>28.5</v>
      </c>
      <c r="H48">
        <v>1.43</v>
      </c>
      <c r="I48" s="5">
        <v>27.07</v>
      </c>
      <c r="J48" t="s">
        <v>21</v>
      </c>
      <c r="K48" t="s">
        <v>22</v>
      </c>
    </row>
    <row r="49" spans="1:11" x14ac:dyDescent="0.3">
      <c r="A49">
        <v>48</v>
      </c>
      <c r="B49" s="1">
        <v>45397</v>
      </c>
      <c r="C49" t="s">
        <v>76</v>
      </c>
      <c r="D49" t="s">
        <v>31</v>
      </c>
      <c r="E49">
        <v>2</v>
      </c>
      <c r="F49" s="6">
        <v>390</v>
      </c>
      <c r="G49">
        <v>780</v>
      </c>
      <c r="H49">
        <v>39</v>
      </c>
      <c r="I49" s="5">
        <v>741</v>
      </c>
      <c r="J49" t="s">
        <v>25</v>
      </c>
      <c r="K49" t="s">
        <v>29</v>
      </c>
    </row>
    <row r="50" spans="1:11" x14ac:dyDescent="0.3">
      <c r="A50">
        <v>49</v>
      </c>
      <c r="B50" s="1">
        <v>45560</v>
      </c>
      <c r="C50" t="s">
        <v>77</v>
      </c>
      <c r="D50" t="s">
        <v>12</v>
      </c>
      <c r="E50">
        <v>3</v>
      </c>
      <c r="F50" s="6">
        <v>80.5</v>
      </c>
      <c r="G50">
        <v>241.5</v>
      </c>
      <c r="H50">
        <v>12.08</v>
      </c>
      <c r="I50" s="5">
        <v>229.42</v>
      </c>
      <c r="J50" t="s">
        <v>17</v>
      </c>
      <c r="K50" t="s">
        <v>32</v>
      </c>
    </row>
    <row r="51" spans="1:11" x14ac:dyDescent="0.3">
      <c r="A51">
        <v>50</v>
      </c>
      <c r="B51" s="1">
        <v>45655</v>
      </c>
      <c r="C51" t="s">
        <v>78</v>
      </c>
      <c r="D51" t="s">
        <v>24</v>
      </c>
      <c r="E51">
        <v>2</v>
      </c>
      <c r="F51" s="6">
        <v>95</v>
      </c>
      <c r="G51">
        <v>190</v>
      </c>
      <c r="H51">
        <v>9.5</v>
      </c>
      <c r="I51" s="5">
        <v>180.5</v>
      </c>
      <c r="J51" t="s">
        <v>13</v>
      </c>
      <c r="K51" t="s">
        <v>18</v>
      </c>
    </row>
    <row r="52" spans="1:11" x14ac:dyDescent="0.3">
      <c r="A52">
        <v>51</v>
      </c>
      <c r="B52" s="1">
        <v>45305</v>
      </c>
      <c r="C52" t="s">
        <v>79</v>
      </c>
      <c r="D52" t="s">
        <v>20</v>
      </c>
      <c r="E52">
        <v>2</v>
      </c>
      <c r="F52" s="6">
        <v>78</v>
      </c>
      <c r="G52">
        <v>156</v>
      </c>
      <c r="H52">
        <v>7.8</v>
      </c>
      <c r="I52" s="5">
        <v>148.19999999999999</v>
      </c>
      <c r="J52" t="s">
        <v>17</v>
      </c>
      <c r="K52" t="s">
        <v>14</v>
      </c>
    </row>
    <row r="53" spans="1:11" x14ac:dyDescent="0.3">
      <c r="A53">
        <v>52</v>
      </c>
      <c r="B53" s="1">
        <v>45380</v>
      </c>
      <c r="C53" t="s">
        <v>80</v>
      </c>
      <c r="D53" t="s">
        <v>16</v>
      </c>
      <c r="E53">
        <v>1</v>
      </c>
      <c r="F53" s="6">
        <v>102.5</v>
      </c>
      <c r="G53">
        <v>102.5</v>
      </c>
      <c r="H53">
        <v>5.12</v>
      </c>
      <c r="I53" s="5">
        <v>97.38</v>
      </c>
      <c r="J53" t="s">
        <v>25</v>
      </c>
      <c r="K53" t="s">
        <v>26</v>
      </c>
    </row>
    <row r="54" spans="1:11" x14ac:dyDescent="0.3">
      <c r="A54">
        <v>53</v>
      </c>
      <c r="B54" s="1">
        <v>45452</v>
      </c>
      <c r="C54" t="s">
        <v>81</v>
      </c>
      <c r="D54" t="s">
        <v>28</v>
      </c>
      <c r="E54">
        <v>5</v>
      </c>
      <c r="F54" s="6">
        <v>32</v>
      </c>
      <c r="G54">
        <v>160</v>
      </c>
      <c r="H54">
        <v>8</v>
      </c>
      <c r="I54" s="5">
        <v>152</v>
      </c>
      <c r="J54" t="s">
        <v>13</v>
      </c>
      <c r="K54" t="s">
        <v>22</v>
      </c>
    </row>
    <row r="55" spans="1:11" x14ac:dyDescent="0.3">
      <c r="A55">
        <v>54</v>
      </c>
      <c r="B55" s="1">
        <v>45555</v>
      </c>
      <c r="C55" t="s">
        <v>82</v>
      </c>
      <c r="D55" t="s">
        <v>31</v>
      </c>
      <c r="E55">
        <v>3</v>
      </c>
      <c r="F55" s="6">
        <v>310</v>
      </c>
      <c r="G55">
        <v>930</v>
      </c>
      <c r="H55">
        <v>46.5</v>
      </c>
      <c r="I55" s="5">
        <v>883.5</v>
      </c>
      <c r="J55" t="s">
        <v>21</v>
      </c>
      <c r="K55" t="s">
        <v>32</v>
      </c>
    </row>
    <row r="56" spans="1:11" x14ac:dyDescent="0.3">
      <c r="A56">
        <v>55</v>
      </c>
      <c r="B56" s="1">
        <v>45629</v>
      </c>
      <c r="C56" t="s">
        <v>83</v>
      </c>
      <c r="D56" t="s">
        <v>34</v>
      </c>
      <c r="E56">
        <v>1</v>
      </c>
      <c r="F56" s="6">
        <v>410</v>
      </c>
      <c r="G56">
        <v>410</v>
      </c>
      <c r="H56">
        <v>20.5</v>
      </c>
      <c r="I56" s="5">
        <v>389.5</v>
      </c>
      <c r="J56" t="s">
        <v>17</v>
      </c>
      <c r="K56" t="s">
        <v>18</v>
      </c>
    </row>
    <row r="57" spans="1:11" x14ac:dyDescent="0.3">
      <c r="A57">
        <v>56</v>
      </c>
      <c r="B57" s="1">
        <v>45340</v>
      </c>
      <c r="C57" t="s">
        <v>84</v>
      </c>
      <c r="D57" t="s">
        <v>12</v>
      </c>
      <c r="E57">
        <v>2</v>
      </c>
      <c r="F57" s="6">
        <v>95</v>
      </c>
      <c r="G57">
        <v>190</v>
      </c>
      <c r="H57">
        <v>9.5</v>
      </c>
      <c r="I57" s="5">
        <v>180.5</v>
      </c>
      <c r="J57" t="s">
        <v>25</v>
      </c>
      <c r="K57" t="s">
        <v>29</v>
      </c>
    </row>
    <row r="58" spans="1:11" x14ac:dyDescent="0.3">
      <c r="A58">
        <v>57</v>
      </c>
      <c r="B58" s="1">
        <v>45424</v>
      </c>
      <c r="C58" t="s">
        <v>85</v>
      </c>
      <c r="D58" t="s">
        <v>24</v>
      </c>
      <c r="E58">
        <v>4</v>
      </c>
      <c r="F58" s="6">
        <v>55</v>
      </c>
      <c r="G58">
        <v>220</v>
      </c>
      <c r="H58">
        <v>11</v>
      </c>
      <c r="I58" s="5">
        <v>209</v>
      </c>
      <c r="J58" t="s">
        <v>13</v>
      </c>
      <c r="K58" t="s">
        <v>14</v>
      </c>
    </row>
    <row r="59" spans="1:11" x14ac:dyDescent="0.3">
      <c r="A59">
        <v>58</v>
      </c>
      <c r="B59" s="1">
        <v>45528</v>
      </c>
      <c r="C59" t="s">
        <v>86</v>
      </c>
      <c r="D59" t="s">
        <v>20</v>
      </c>
      <c r="E59">
        <v>3</v>
      </c>
      <c r="F59" s="6">
        <v>68</v>
      </c>
      <c r="G59">
        <v>204</v>
      </c>
      <c r="H59">
        <v>10.199999999999999</v>
      </c>
      <c r="I59" s="5">
        <v>193.8</v>
      </c>
      <c r="J59" t="s">
        <v>17</v>
      </c>
      <c r="K59" t="s">
        <v>26</v>
      </c>
    </row>
    <row r="60" spans="1:11" x14ac:dyDescent="0.3">
      <c r="A60">
        <v>59</v>
      </c>
      <c r="B60" s="1">
        <v>45615</v>
      </c>
      <c r="C60" t="s">
        <v>87</v>
      </c>
      <c r="D60" t="s">
        <v>16</v>
      </c>
      <c r="E60">
        <v>2</v>
      </c>
      <c r="F60" s="6">
        <v>87</v>
      </c>
      <c r="G60">
        <v>174</v>
      </c>
      <c r="H60">
        <v>8.6999999999999993</v>
      </c>
      <c r="I60" s="5">
        <v>165.3</v>
      </c>
      <c r="J60" t="s">
        <v>21</v>
      </c>
      <c r="K60" t="s">
        <v>32</v>
      </c>
    </row>
    <row r="61" spans="1:11" x14ac:dyDescent="0.3">
      <c r="A61">
        <v>60</v>
      </c>
      <c r="B61" s="1">
        <v>45384</v>
      </c>
      <c r="C61" t="s">
        <v>88</v>
      </c>
      <c r="D61" t="s">
        <v>28</v>
      </c>
      <c r="E61">
        <v>1</v>
      </c>
      <c r="F61" s="6">
        <v>29</v>
      </c>
      <c r="G61">
        <v>29</v>
      </c>
      <c r="H61">
        <v>1.45</v>
      </c>
      <c r="I61" s="5">
        <v>27.55</v>
      </c>
      <c r="J61" t="s">
        <v>25</v>
      </c>
      <c r="K61" t="s">
        <v>18</v>
      </c>
    </row>
    <row r="62" spans="1:11" x14ac:dyDescent="0.3">
      <c r="A62">
        <v>61</v>
      </c>
      <c r="B62" s="1">
        <v>45499</v>
      </c>
      <c r="C62" t="s">
        <v>89</v>
      </c>
      <c r="D62" t="s">
        <v>31</v>
      </c>
      <c r="E62">
        <v>5</v>
      </c>
      <c r="F62" s="6">
        <v>240</v>
      </c>
      <c r="G62">
        <v>1200</v>
      </c>
      <c r="H62">
        <v>60</v>
      </c>
      <c r="I62" s="5">
        <v>1140</v>
      </c>
      <c r="J62" t="s">
        <v>13</v>
      </c>
      <c r="K62" t="s">
        <v>22</v>
      </c>
    </row>
    <row r="63" spans="1:11" x14ac:dyDescent="0.3">
      <c r="A63">
        <v>62</v>
      </c>
      <c r="B63" s="1">
        <v>45579</v>
      </c>
      <c r="C63" t="s">
        <v>90</v>
      </c>
      <c r="D63" t="s">
        <v>12</v>
      </c>
      <c r="E63">
        <v>3</v>
      </c>
      <c r="F63" s="6">
        <v>120</v>
      </c>
      <c r="G63">
        <v>360</v>
      </c>
      <c r="H63">
        <v>18</v>
      </c>
      <c r="I63" s="5">
        <v>342</v>
      </c>
      <c r="J63" t="s">
        <v>17</v>
      </c>
      <c r="K63" t="s">
        <v>29</v>
      </c>
    </row>
    <row r="64" spans="1:11" x14ac:dyDescent="0.3">
      <c r="A64">
        <v>63</v>
      </c>
      <c r="B64" s="1">
        <v>45316</v>
      </c>
      <c r="C64" t="s">
        <v>91</v>
      </c>
      <c r="D64" t="s">
        <v>24</v>
      </c>
      <c r="E64">
        <v>2</v>
      </c>
      <c r="F64" s="6">
        <v>96.5</v>
      </c>
      <c r="G64">
        <v>193</v>
      </c>
      <c r="H64">
        <v>9.65</v>
      </c>
      <c r="I64" s="5">
        <v>183.35</v>
      </c>
      <c r="J64" t="s">
        <v>21</v>
      </c>
      <c r="K64" t="s">
        <v>14</v>
      </c>
    </row>
    <row r="65" spans="1:11" x14ac:dyDescent="0.3">
      <c r="A65">
        <v>64</v>
      </c>
      <c r="B65" s="1">
        <v>45363</v>
      </c>
      <c r="C65" t="s">
        <v>92</v>
      </c>
      <c r="D65" t="s">
        <v>34</v>
      </c>
      <c r="E65">
        <v>1</v>
      </c>
      <c r="F65" s="6">
        <v>350</v>
      </c>
      <c r="G65">
        <v>350</v>
      </c>
      <c r="H65">
        <v>17.5</v>
      </c>
      <c r="I65" s="5">
        <v>332.5</v>
      </c>
      <c r="J65" t="s">
        <v>25</v>
      </c>
      <c r="K65" t="s">
        <v>26</v>
      </c>
    </row>
    <row r="66" spans="1:11" x14ac:dyDescent="0.3">
      <c r="A66">
        <v>65</v>
      </c>
      <c r="B66" s="1">
        <v>45472</v>
      </c>
      <c r="C66" t="s">
        <v>93</v>
      </c>
      <c r="D66" t="s">
        <v>41</v>
      </c>
      <c r="E66">
        <v>4</v>
      </c>
      <c r="F66" s="6">
        <v>160</v>
      </c>
      <c r="G66">
        <v>640</v>
      </c>
      <c r="H66">
        <v>32</v>
      </c>
      <c r="I66" s="5">
        <v>608</v>
      </c>
      <c r="J66" t="s">
        <v>13</v>
      </c>
      <c r="K66" t="s">
        <v>32</v>
      </c>
    </row>
    <row r="67" spans="1:11" x14ac:dyDescent="0.3">
      <c r="A67">
        <v>66</v>
      </c>
      <c r="B67" s="1">
        <v>45541</v>
      </c>
      <c r="C67" t="s">
        <v>94</v>
      </c>
      <c r="D67" t="s">
        <v>16</v>
      </c>
      <c r="E67">
        <v>2</v>
      </c>
      <c r="F67" s="6">
        <v>78.5</v>
      </c>
      <c r="G67">
        <v>157</v>
      </c>
      <c r="H67">
        <v>7.85</v>
      </c>
      <c r="I67" s="5">
        <v>149.15</v>
      </c>
      <c r="J67" t="s">
        <v>17</v>
      </c>
      <c r="K67" t="s">
        <v>18</v>
      </c>
    </row>
    <row r="68" spans="1:11" x14ac:dyDescent="0.3">
      <c r="A68">
        <v>67</v>
      </c>
      <c r="B68" s="1">
        <v>45641</v>
      </c>
      <c r="C68" t="s">
        <v>95</v>
      </c>
      <c r="D68" t="s">
        <v>28</v>
      </c>
      <c r="E68">
        <v>3</v>
      </c>
      <c r="F68" s="6">
        <v>34</v>
      </c>
      <c r="G68">
        <v>102</v>
      </c>
      <c r="H68">
        <v>5.0999999999999996</v>
      </c>
      <c r="I68" s="5">
        <v>96.9</v>
      </c>
      <c r="J68" t="s">
        <v>21</v>
      </c>
      <c r="K68" t="s">
        <v>29</v>
      </c>
    </row>
    <row r="69" spans="1:11" x14ac:dyDescent="0.3">
      <c r="A69">
        <v>68</v>
      </c>
      <c r="B69" s="1">
        <v>45324</v>
      </c>
      <c r="C69" t="s">
        <v>96</v>
      </c>
      <c r="D69" t="s">
        <v>31</v>
      </c>
      <c r="E69">
        <v>2</v>
      </c>
      <c r="F69" s="6">
        <v>355</v>
      </c>
      <c r="G69">
        <v>710</v>
      </c>
      <c r="H69">
        <v>35.5</v>
      </c>
      <c r="I69" s="5">
        <v>674.5</v>
      </c>
      <c r="J69" t="s">
        <v>13</v>
      </c>
      <c r="K69" t="s">
        <v>22</v>
      </c>
    </row>
    <row r="70" spans="1:11" x14ac:dyDescent="0.3">
      <c r="A70">
        <v>69</v>
      </c>
      <c r="B70" s="1">
        <v>45436</v>
      </c>
      <c r="C70" t="s">
        <v>97</v>
      </c>
      <c r="D70" t="s">
        <v>12</v>
      </c>
      <c r="E70">
        <v>1</v>
      </c>
      <c r="F70" s="6">
        <v>140</v>
      </c>
      <c r="G70">
        <v>140</v>
      </c>
      <c r="H70">
        <v>7</v>
      </c>
      <c r="I70" s="5">
        <v>133</v>
      </c>
      <c r="J70" t="s">
        <v>25</v>
      </c>
      <c r="K70" t="s">
        <v>14</v>
      </c>
    </row>
    <row r="71" spans="1:11" x14ac:dyDescent="0.3">
      <c r="A71">
        <v>70</v>
      </c>
      <c r="B71" s="1">
        <v>45506</v>
      </c>
      <c r="C71" t="s">
        <v>98</v>
      </c>
      <c r="D71" t="s">
        <v>24</v>
      </c>
      <c r="E71">
        <v>3</v>
      </c>
      <c r="F71" s="6">
        <v>89.99</v>
      </c>
      <c r="G71">
        <v>269.97000000000003</v>
      </c>
      <c r="H71">
        <v>13.5</v>
      </c>
      <c r="I71" s="5">
        <v>256.47000000000003</v>
      </c>
      <c r="J71" t="s">
        <v>17</v>
      </c>
      <c r="K71" t="s">
        <v>18</v>
      </c>
    </row>
    <row r="72" spans="1:11" x14ac:dyDescent="0.3">
      <c r="A72">
        <v>71</v>
      </c>
      <c r="B72" s="1">
        <v>45619</v>
      </c>
      <c r="C72" t="s">
        <v>99</v>
      </c>
      <c r="D72" t="s">
        <v>20</v>
      </c>
      <c r="E72">
        <v>2</v>
      </c>
      <c r="F72" s="6">
        <v>74</v>
      </c>
      <c r="G72">
        <v>148</v>
      </c>
      <c r="H72">
        <v>7.4</v>
      </c>
      <c r="I72" s="5">
        <v>140.6</v>
      </c>
      <c r="J72" t="s">
        <v>21</v>
      </c>
      <c r="K72" t="s">
        <v>29</v>
      </c>
    </row>
    <row r="73" spans="1:11" x14ac:dyDescent="0.3">
      <c r="A73">
        <v>72</v>
      </c>
      <c r="B73" s="1">
        <v>45401</v>
      </c>
      <c r="C73" t="s">
        <v>100</v>
      </c>
      <c r="D73" t="s">
        <v>28</v>
      </c>
      <c r="E73">
        <v>5</v>
      </c>
      <c r="F73" s="6">
        <v>33</v>
      </c>
      <c r="G73">
        <v>165</v>
      </c>
      <c r="H73">
        <v>8.25</v>
      </c>
      <c r="I73" s="5">
        <v>156.75</v>
      </c>
      <c r="J73" t="s">
        <v>13</v>
      </c>
      <c r="K73" t="s">
        <v>26</v>
      </c>
    </row>
    <row r="74" spans="1:11" x14ac:dyDescent="0.3">
      <c r="A74">
        <v>73</v>
      </c>
      <c r="B74" s="1">
        <v>45482</v>
      </c>
      <c r="C74" t="s">
        <v>101</v>
      </c>
      <c r="D74" t="s">
        <v>34</v>
      </c>
      <c r="E74">
        <v>1</v>
      </c>
      <c r="F74" s="6">
        <v>460</v>
      </c>
      <c r="G74">
        <v>460</v>
      </c>
      <c r="H74">
        <v>23</v>
      </c>
      <c r="I74" s="5">
        <v>437</v>
      </c>
      <c r="J74" t="s">
        <v>25</v>
      </c>
      <c r="K74" t="s">
        <v>32</v>
      </c>
    </row>
    <row r="75" spans="1:11" x14ac:dyDescent="0.3">
      <c r="A75">
        <v>74</v>
      </c>
      <c r="B75" s="1">
        <v>45595</v>
      </c>
      <c r="C75" t="s">
        <v>102</v>
      </c>
      <c r="D75" t="s">
        <v>41</v>
      </c>
      <c r="E75">
        <v>2</v>
      </c>
      <c r="F75" s="6">
        <v>190</v>
      </c>
      <c r="G75">
        <v>380</v>
      </c>
      <c r="H75">
        <v>19</v>
      </c>
      <c r="I75" s="5">
        <v>361</v>
      </c>
      <c r="J75" t="s">
        <v>17</v>
      </c>
      <c r="K75" t="s">
        <v>22</v>
      </c>
    </row>
    <row r="76" spans="1:11" x14ac:dyDescent="0.3">
      <c r="A76">
        <v>75</v>
      </c>
      <c r="B76" s="1">
        <v>45296</v>
      </c>
      <c r="C76" t="s">
        <v>103</v>
      </c>
      <c r="D76" t="s">
        <v>16</v>
      </c>
      <c r="E76">
        <v>4</v>
      </c>
      <c r="F76" s="6">
        <v>52</v>
      </c>
      <c r="G76">
        <v>208</v>
      </c>
      <c r="H76">
        <v>10.4</v>
      </c>
      <c r="I76" s="5">
        <v>197.6</v>
      </c>
      <c r="J76" t="s">
        <v>21</v>
      </c>
      <c r="K76" t="s">
        <v>18</v>
      </c>
    </row>
    <row r="77" spans="1:11" x14ac:dyDescent="0.3">
      <c r="A77">
        <v>76</v>
      </c>
      <c r="B77" s="1">
        <v>45359</v>
      </c>
      <c r="C77" t="s">
        <v>104</v>
      </c>
      <c r="D77" t="s">
        <v>12</v>
      </c>
      <c r="E77">
        <v>2</v>
      </c>
      <c r="F77" s="6">
        <v>115</v>
      </c>
      <c r="G77">
        <v>230</v>
      </c>
      <c r="H77">
        <v>11.5</v>
      </c>
      <c r="I77" s="5">
        <v>218.5</v>
      </c>
      <c r="J77" t="s">
        <v>13</v>
      </c>
      <c r="K77" t="s">
        <v>29</v>
      </c>
    </row>
    <row r="78" spans="1:11" x14ac:dyDescent="0.3">
      <c r="A78">
        <v>77</v>
      </c>
      <c r="B78" s="1">
        <v>45461</v>
      </c>
      <c r="C78" t="s">
        <v>105</v>
      </c>
      <c r="D78" t="s">
        <v>24</v>
      </c>
      <c r="E78">
        <v>1</v>
      </c>
      <c r="F78" s="6">
        <v>67</v>
      </c>
      <c r="G78">
        <v>67</v>
      </c>
      <c r="H78">
        <v>3.35</v>
      </c>
      <c r="I78" s="5">
        <v>63.65</v>
      </c>
      <c r="J78" t="s">
        <v>17</v>
      </c>
      <c r="K78" t="s">
        <v>26</v>
      </c>
    </row>
    <row r="79" spans="1:11" x14ac:dyDescent="0.3">
      <c r="A79">
        <v>78</v>
      </c>
      <c r="B79" s="1">
        <v>45562</v>
      </c>
      <c r="C79" t="s">
        <v>106</v>
      </c>
      <c r="D79" t="s">
        <v>20</v>
      </c>
      <c r="E79">
        <v>3</v>
      </c>
      <c r="F79" s="6">
        <v>84.5</v>
      </c>
      <c r="G79">
        <v>253.5</v>
      </c>
      <c r="H79">
        <v>12.68</v>
      </c>
      <c r="I79" s="5">
        <v>240.82</v>
      </c>
      <c r="J79" t="s">
        <v>25</v>
      </c>
      <c r="K79" t="s">
        <v>32</v>
      </c>
    </row>
    <row r="80" spans="1:11" x14ac:dyDescent="0.3">
      <c r="A80">
        <v>79</v>
      </c>
      <c r="B80" s="1">
        <v>45637</v>
      </c>
      <c r="C80" t="s">
        <v>107</v>
      </c>
      <c r="D80" t="s">
        <v>31</v>
      </c>
      <c r="E80">
        <v>4</v>
      </c>
      <c r="F80" s="6">
        <v>320</v>
      </c>
      <c r="G80">
        <v>1280</v>
      </c>
      <c r="H80">
        <v>64</v>
      </c>
      <c r="I80" s="5">
        <v>1216</v>
      </c>
      <c r="J80" t="s">
        <v>21</v>
      </c>
      <c r="K80" t="s">
        <v>14</v>
      </c>
    </row>
    <row r="81" spans="1:11" x14ac:dyDescent="0.3">
      <c r="A81">
        <v>80</v>
      </c>
      <c r="B81" s="1">
        <v>45327</v>
      </c>
      <c r="C81" t="s">
        <v>108</v>
      </c>
      <c r="D81" t="s">
        <v>34</v>
      </c>
      <c r="E81">
        <v>2</v>
      </c>
      <c r="F81" s="6">
        <v>210</v>
      </c>
      <c r="G81">
        <v>420</v>
      </c>
      <c r="H81">
        <v>21</v>
      </c>
      <c r="I81" s="5">
        <v>399</v>
      </c>
      <c r="J81" t="s">
        <v>13</v>
      </c>
      <c r="K81" t="s">
        <v>22</v>
      </c>
    </row>
    <row r="82" spans="1:11" x14ac:dyDescent="0.3">
      <c r="A82">
        <v>81</v>
      </c>
      <c r="B82" s="1">
        <v>45426</v>
      </c>
      <c r="C82" t="s">
        <v>109</v>
      </c>
      <c r="D82" t="s">
        <v>16</v>
      </c>
      <c r="E82">
        <v>5</v>
      </c>
      <c r="F82" s="6">
        <v>48</v>
      </c>
      <c r="G82">
        <v>240</v>
      </c>
      <c r="H82">
        <v>12</v>
      </c>
      <c r="I82" s="5">
        <v>228</v>
      </c>
      <c r="J82" t="s">
        <v>17</v>
      </c>
      <c r="K82" t="s">
        <v>18</v>
      </c>
    </row>
    <row r="83" spans="1:11" x14ac:dyDescent="0.3">
      <c r="A83">
        <v>82</v>
      </c>
      <c r="B83" s="1">
        <v>45510</v>
      </c>
      <c r="C83" t="s">
        <v>110</v>
      </c>
      <c r="D83" t="s">
        <v>28</v>
      </c>
      <c r="E83">
        <v>1</v>
      </c>
      <c r="F83" s="6">
        <v>31</v>
      </c>
      <c r="G83">
        <v>31</v>
      </c>
      <c r="H83">
        <v>1.55</v>
      </c>
      <c r="I83" s="5">
        <v>29.45</v>
      </c>
      <c r="J83" t="s">
        <v>25</v>
      </c>
      <c r="K83" t="s">
        <v>29</v>
      </c>
    </row>
    <row r="84" spans="1:11" x14ac:dyDescent="0.3">
      <c r="A84">
        <v>83</v>
      </c>
      <c r="B84" s="1">
        <v>45617</v>
      </c>
      <c r="C84" t="s">
        <v>111</v>
      </c>
      <c r="D84" t="s">
        <v>41</v>
      </c>
      <c r="E84">
        <v>3</v>
      </c>
      <c r="F84" s="6">
        <v>175</v>
      </c>
      <c r="G84">
        <v>525</v>
      </c>
      <c r="H84">
        <v>26.25</v>
      </c>
      <c r="I84" s="5">
        <v>498.75</v>
      </c>
      <c r="J84" t="s">
        <v>21</v>
      </c>
      <c r="K84" t="s">
        <v>26</v>
      </c>
    </row>
    <row r="85" spans="1:11" x14ac:dyDescent="0.3">
      <c r="A85">
        <v>84</v>
      </c>
      <c r="B85" s="1">
        <v>45390</v>
      </c>
      <c r="C85" t="s">
        <v>112</v>
      </c>
      <c r="D85" t="s">
        <v>12</v>
      </c>
      <c r="E85">
        <v>4</v>
      </c>
      <c r="F85" s="6">
        <v>92</v>
      </c>
      <c r="G85">
        <v>368</v>
      </c>
      <c r="H85">
        <v>18.399999999999999</v>
      </c>
      <c r="I85" s="5">
        <v>349.6</v>
      </c>
      <c r="J85" t="s">
        <v>13</v>
      </c>
      <c r="K85" t="s">
        <v>32</v>
      </c>
    </row>
    <row r="86" spans="1:11" x14ac:dyDescent="0.3">
      <c r="A86">
        <v>85</v>
      </c>
      <c r="B86" s="1">
        <v>45503</v>
      </c>
      <c r="C86" t="s">
        <v>113</v>
      </c>
      <c r="D86" t="s">
        <v>24</v>
      </c>
      <c r="E86">
        <v>2</v>
      </c>
      <c r="F86" s="6">
        <v>69.5</v>
      </c>
      <c r="G86">
        <v>139</v>
      </c>
      <c r="H86">
        <v>6.95</v>
      </c>
      <c r="I86" s="5">
        <v>132.05000000000001</v>
      </c>
      <c r="J86" t="s">
        <v>17</v>
      </c>
      <c r="K86" t="s">
        <v>18</v>
      </c>
    </row>
    <row r="87" spans="1:11" x14ac:dyDescent="0.3">
      <c r="A87">
        <v>86</v>
      </c>
      <c r="B87" s="1">
        <v>45574</v>
      </c>
      <c r="C87" t="s">
        <v>114</v>
      </c>
      <c r="D87" t="s">
        <v>20</v>
      </c>
      <c r="E87">
        <v>1</v>
      </c>
      <c r="F87" s="6">
        <v>118</v>
      </c>
      <c r="G87">
        <v>118</v>
      </c>
      <c r="H87">
        <v>5.9</v>
      </c>
      <c r="I87" s="5">
        <v>112.1</v>
      </c>
      <c r="J87" t="s">
        <v>25</v>
      </c>
      <c r="K87" t="s">
        <v>14</v>
      </c>
    </row>
    <row r="88" spans="1:11" x14ac:dyDescent="0.3">
      <c r="A88">
        <v>87</v>
      </c>
      <c r="B88" s="1">
        <v>45312</v>
      </c>
      <c r="C88" t="s">
        <v>115</v>
      </c>
      <c r="D88" t="s">
        <v>16</v>
      </c>
      <c r="E88">
        <v>3</v>
      </c>
      <c r="F88" s="6">
        <v>80</v>
      </c>
      <c r="G88">
        <v>240</v>
      </c>
      <c r="H88">
        <v>12</v>
      </c>
      <c r="I88" s="5">
        <v>228</v>
      </c>
      <c r="J88" t="s">
        <v>17</v>
      </c>
      <c r="K88" t="s">
        <v>22</v>
      </c>
    </row>
    <row r="89" spans="1:11" x14ac:dyDescent="0.3">
      <c r="A89">
        <v>88</v>
      </c>
      <c r="B89" s="1">
        <v>45376</v>
      </c>
      <c r="C89" t="s">
        <v>116</v>
      </c>
      <c r="D89" t="s">
        <v>31</v>
      </c>
      <c r="E89">
        <v>2</v>
      </c>
      <c r="F89" s="6">
        <v>385</v>
      </c>
      <c r="G89">
        <v>770</v>
      </c>
      <c r="H89">
        <v>38.5</v>
      </c>
      <c r="I89" s="5">
        <v>731.5</v>
      </c>
      <c r="J89" t="s">
        <v>13</v>
      </c>
      <c r="K89" t="s">
        <v>29</v>
      </c>
    </row>
    <row r="90" spans="1:11" x14ac:dyDescent="0.3">
      <c r="A90">
        <v>89</v>
      </c>
      <c r="B90" s="1">
        <v>45470</v>
      </c>
      <c r="C90" t="s">
        <v>117</v>
      </c>
      <c r="D90" t="s">
        <v>12</v>
      </c>
      <c r="E90">
        <v>5</v>
      </c>
      <c r="F90" s="6">
        <v>72.5</v>
      </c>
      <c r="G90">
        <v>362.5</v>
      </c>
      <c r="H90">
        <v>18.13</v>
      </c>
      <c r="I90" s="5">
        <v>344.37</v>
      </c>
      <c r="J90" t="s">
        <v>21</v>
      </c>
      <c r="K90" t="s">
        <v>26</v>
      </c>
    </row>
    <row r="91" spans="1:11" x14ac:dyDescent="0.3">
      <c r="A91">
        <v>90</v>
      </c>
      <c r="B91" s="1">
        <v>45538</v>
      </c>
      <c r="C91" t="s">
        <v>118</v>
      </c>
      <c r="D91" t="s">
        <v>24</v>
      </c>
      <c r="E91">
        <v>3</v>
      </c>
      <c r="F91" s="6">
        <v>102</v>
      </c>
      <c r="G91">
        <v>306</v>
      </c>
      <c r="H91">
        <v>15.3</v>
      </c>
      <c r="I91" s="5">
        <v>290.7</v>
      </c>
      <c r="J91" t="s">
        <v>25</v>
      </c>
      <c r="K91" t="s">
        <v>32</v>
      </c>
    </row>
    <row r="92" spans="1:11" x14ac:dyDescent="0.3">
      <c r="A92">
        <v>91</v>
      </c>
      <c r="B92" s="1">
        <v>45646</v>
      </c>
      <c r="C92" t="s">
        <v>119</v>
      </c>
      <c r="D92" t="s">
        <v>34</v>
      </c>
      <c r="E92">
        <v>1</v>
      </c>
      <c r="F92" s="6">
        <v>430</v>
      </c>
      <c r="G92">
        <v>430</v>
      </c>
      <c r="H92">
        <v>21.5</v>
      </c>
      <c r="I92" s="5">
        <v>408.5</v>
      </c>
      <c r="J92" t="s">
        <v>13</v>
      </c>
      <c r="K92" t="s">
        <v>14</v>
      </c>
    </row>
    <row r="93" spans="1:11" x14ac:dyDescent="0.3">
      <c r="A93">
        <v>92</v>
      </c>
      <c r="B93" s="1">
        <v>45349</v>
      </c>
      <c r="C93" t="s">
        <v>120</v>
      </c>
      <c r="D93" t="s">
        <v>41</v>
      </c>
      <c r="E93">
        <v>4</v>
      </c>
      <c r="F93" s="6">
        <v>140</v>
      </c>
      <c r="G93">
        <v>560</v>
      </c>
      <c r="H93">
        <v>28</v>
      </c>
      <c r="I93" s="5">
        <v>532</v>
      </c>
      <c r="J93" t="s">
        <v>17</v>
      </c>
      <c r="K93" t="s">
        <v>18</v>
      </c>
    </row>
    <row r="94" spans="1:11" x14ac:dyDescent="0.3">
      <c r="A94">
        <v>93</v>
      </c>
      <c r="B94" s="1">
        <v>45431</v>
      </c>
      <c r="C94" t="s">
        <v>121</v>
      </c>
      <c r="D94" t="s">
        <v>28</v>
      </c>
      <c r="E94">
        <v>3</v>
      </c>
      <c r="F94" s="6">
        <v>35.5</v>
      </c>
      <c r="G94">
        <v>106.5</v>
      </c>
      <c r="H94">
        <v>5.33</v>
      </c>
      <c r="I94" s="5">
        <v>101.17</v>
      </c>
      <c r="J94" t="s">
        <v>21</v>
      </c>
      <c r="K94" t="s">
        <v>22</v>
      </c>
    </row>
    <row r="95" spans="1:11" x14ac:dyDescent="0.3">
      <c r="A95">
        <v>94</v>
      </c>
      <c r="B95" s="1">
        <v>45519</v>
      </c>
      <c r="C95" t="s">
        <v>122</v>
      </c>
      <c r="D95" t="s">
        <v>12</v>
      </c>
      <c r="E95">
        <v>2</v>
      </c>
      <c r="F95" s="6">
        <v>128</v>
      </c>
      <c r="G95">
        <v>256</v>
      </c>
      <c r="H95">
        <v>12.8</v>
      </c>
      <c r="I95" s="5">
        <v>243.2</v>
      </c>
      <c r="J95" t="s">
        <v>13</v>
      </c>
      <c r="K95" t="s">
        <v>26</v>
      </c>
    </row>
    <row r="96" spans="1:11" x14ac:dyDescent="0.3">
      <c r="A96">
        <v>95</v>
      </c>
      <c r="B96" s="1">
        <v>45597</v>
      </c>
      <c r="C96" t="s">
        <v>123</v>
      </c>
      <c r="D96" t="s">
        <v>20</v>
      </c>
      <c r="E96">
        <v>5</v>
      </c>
      <c r="F96" s="6">
        <v>66</v>
      </c>
      <c r="G96">
        <v>330</v>
      </c>
      <c r="H96">
        <v>16.5</v>
      </c>
      <c r="I96" s="5">
        <v>313.5</v>
      </c>
      <c r="J96" t="s">
        <v>25</v>
      </c>
      <c r="K96" t="s">
        <v>32</v>
      </c>
    </row>
    <row r="97" spans="1:11" x14ac:dyDescent="0.3">
      <c r="A97">
        <v>96</v>
      </c>
      <c r="B97" s="1">
        <v>45405</v>
      </c>
      <c r="C97" t="s">
        <v>124</v>
      </c>
      <c r="D97" t="s">
        <v>31</v>
      </c>
      <c r="E97">
        <v>1</v>
      </c>
      <c r="F97" s="6">
        <v>410</v>
      </c>
      <c r="G97">
        <v>410</v>
      </c>
      <c r="H97">
        <v>20.5</v>
      </c>
      <c r="I97" s="5">
        <v>389.5</v>
      </c>
      <c r="J97" t="s">
        <v>17</v>
      </c>
      <c r="K97" t="s">
        <v>14</v>
      </c>
    </row>
    <row r="98" spans="1:11" x14ac:dyDescent="0.3">
      <c r="A98">
        <v>97</v>
      </c>
      <c r="B98" s="1">
        <v>45478</v>
      </c>
      <c r="C98" t="s">
        <v>125</v>
      </c>
      <c r="D98" t="s">
        <v>24</v>
      </c>
      <c r="E98">
        <v>4</v>
      </c>
      <c r="F98" s="6">
        <v>76.5</v>
      </c>
      <c r="G98">
        <v>306</v>
      </c>
      <c r="H98">
        <v>15.3</v>
      </c>
      <c r="I98" s="5">
        <v>290.7</v>
      </c>
      <c r="J98" t="s">
        <v>21</v>
      </c>
      <c r="K98" t="s">
        <v>29</v>
      </c>
    </row>
    <row r="99" spans="1:11" x14ac:dyDescent="0.3">
      <c r="A99">
        <v>98</v>
      </c>
      <c r="B99" s="1">
        <v>45583</v>
      </c>
      <c r="C99" t="s">
        <v>126</v>
      </c>
      <c r="D99" t="s">
        <v>16</v>
      </c>
      <c r="E99">
        <v>2</v>
      </c>
      <c r="F99" s="6">
        <v>82</v>
      </c>
      <c r="G99">
        <v>164</v>
      </c>
      <c r="H99">
        <v>8.1999999999999993</v>
      </c>
      <c r="I99" s="5">
        <v>155.80000000000001</v>
      </c>
      <c r="J99" t="s">
        <v>13</v>
      </c>
      <c r="K99" t="s">
        <v>18</v>
      </c>
    </row>
    <row r="100" spans="1:11" x14ac:dyDescent="0.3">
      <c r="A100">
        <v>99</v>
      </c>
      <c r="B100" s="1">
        <v>45320</v>
      </c>
      <c r="C100" t="s">
        <v>127</v>
      </c>
      <c r="D100" t="s">
        <v>41</v>
      </c>
      <c r="E100">
        <v>1</v>
      </c>
      <c r="F100" s="6">
        <v>235</v>
      </c>
      <c r="G100">
        <v>235</v>
      </c>
      <c r="H100">
        <v>11.75</v>
      </c>
      <c r="I100" s="5">
        <v>223.25</v>
      </c>
      <c r="J100" t="s">
        <v>17</v>
      </c>
      <c r="K100" t="s">
        <v>22</v>
      </c>
    </row>
    <row r="101" spans="1:11" x14ac:dyDescent="0.3">
      <c r="A101">
        <v>100</v>
      </c>
      <c r="B101" s="1">
        <v>45382</v>
      </c>
      <c r="C101" t="s">
        <v>128</v>
      </c>
      <c r="D101" t="s">
        <v>28</v>
      </c>
      <c r="E101">
        <v>5</v>
      </c>
      <c r="F101" s="6">
        <v>29.5</v>
      </c>
      <c r="G101">
        <v>147.5</v>
      </c>
      <c r="H101">
        <v>7.38</v>
      </c>
      <c r="I101" s="5">
        <v>140.12</v>
      </c>
      <c r="J101" t="s">
        <v>25</v>
      </c>
      <c r="K101" t="s">
        <v>26</v>
      </c>
    </row>
    <row r="102" spans="1:11" x14ac:dyDescent="0.3">
      <c r="A102">
        <v>101</v>
      </c>
      <c r="B102" s="1">
        <v>45396</v>
      </c>
      <c r="C102" t="s">
        <v>129</v>
      </c>
      <c r="D102" t="s">
        <v>12</v>
      </c>
      <c r="E102">
        <v>3</v>
      </c>
      <c r="F102" s="6">
        <v>112</v>
      </c>
      <c r="G102">
        <v>336</v>
      </c>
      <c r="H102">
        <v>16.8</v>
      </c>
      <c r="I102" s="5">
        <v>319.2</v>
      </c>
      <c r="J102" t="s">
        <v>13</v>
      </c>
      <c r="K102" t="s">
        <v>32</v>
      </c>
    </row>
    <row r="103" spans="1:11" x14ac:dyDescent="0.3">
      <c r="A103">
        <v>102</v>
      </c>
      <c r="B103" s="1">
        <v>45491</v>
      </c>
      <c r="C103" t="s">
        <v>130</v>
      </c>
      <c r="D103" t="s">
        <v>24</v>
      </c>
      <c r="E103">
        <v>2</v>
      </c>
      <c r="F103" s="6">
        <v>88.5</v>
      </c>
      <c r="G103">
        <v>177</v>
      </c>
      <c r="H103">
        <v>8.85</v>
      </c>
      <c r="I103" s="5">
        <v>168.15</v>
      </c>
      <c r="J103" t="s">
        <v>17</v>
      </c>
      <c r="K103" t="s">
        <v>29</v>
      </c>
    </row>
    <row r="104" spans="1:11" x14ac:dyDescent="0.3">
      <c r="A104">
        <v>103</v>
      </c>
      <c r="B104" s="1">
        <v>45592</v>
      </c>
      <c r="C104" t="s">
        <v>131</v>
      </c>
      <c r="D104" t="s">
        <v>20</v>
      </c>
      <c r="E104">
        <v>1</v>
      </c>
      <c r="F104" s="6">
        <v>64</v>
      </c>
      <c r="G104">
        <v>64</v>
      </c>
      <c r="H104">
        <v>3.2</v>
      </c>
      <c r="I104" s="5">
        <v>60.8</v>
      </c>
      <c r="J104" t="s">
        <v>25</v>
      </c>
      <c r="K104" t="s">
        <v>18</v>
      </c>
    </row>
    <row r="105" spans="1:11" x14ac:dyDescent="0.3">
      <c r="A105">
        <v>104</v>
      </c>
      <c r="B105" s="1">
        <v>45303</v>
      </c>
      <c r="C105" t="s">
        <v>132</v>
      </c>
      <c r="D105" t="s">
        <v>16</v>
      </c>
      <c r="E105">
        <v>5</v>
      </c>
      <c r="F105" s="6">
        <v>49</v>
      </c>
      <c r="G105">
        <v>245</v>
      </c>
      <c r="H105">
        <v>12.25</v>
      </c>
      <c r="I105" s="5">
        <v>232.75</v>
      </c>
      <c r="J105" t="s">
        <v>21</v>
      </c>
      <c r="K105" t="s">
        <v>14</v>
      </c>
    </row>
    <row r="106" spans="1:11" x14ac:dyDescent="0.3">
      <c r="A106">
        <v>105</v>
      </c>
      <c r="B106" s="1">
        <v>45370</v>
      </c>
      <c r="C106" t="s">
        <v>133</v>
      </c>
      <c r="D106" t="s">
        <v>28</v>
      </c>
      <c r="E106">
        <v>4</v>
      </c>
      <c r="F106" s="6">
        <v>32.5</v>
      </c>
      <c r="G106">
        <v>130</v>
      </c>
      <c r="H106">
        <v>6.5</v>
      </c>
      <c r="I106" s="5">
        <v>123.5</v>
      </c>
      <c r="J106" t="s">
        <v>13</v>
      </c>
      <c r="K106" t="s">
        <v>26</v>
      </c>
    </row>
    <row r="107" spans="1:11" x14ac:dyDescent="0.3">
      <c r="A107">
        <v>106</v>
      </c>
      <c r="B107" s="1">
        <v>45466</v>
      </c>
      <c r="C107" t="s">
        <v>134</v>
      </c>
      <c r="D107" t="s">
        <v>31</v>
      </c>
      <c r="E107">
        <v>2</v>
      </c>
      <c r="F107" s="6">
        <v>299</v>
      </c>
      <c r="G107">
        <v>598</v>
      </c>
      <c r="H107">
        <v>29.9</v>
      </c>
      <c r="I107" s="5">
        <v>568.1</v>
      </c>
      <c r="J107" t="s">
        <v>17</v>
      </c>
      <c r="K107" t="s">
        <v>22</v>
      </c>
    </row>
    <row r="108" spans="1:11" x14ac:dyDescent="0.3">
      <c r="A108">
        <v>107</v>
      </c>
      <c r="B108" s="1">
        <v>45543</v>
      </c>
      <c r="C108" t="s">
        <v>135</v>
      </c>
      <c r="D108" t="s">
        <v>34</v>
      </c>
      <c r="E108">
        <v>1</v>
      </c>
      <c r="F108" s="6">
        <v>455</v>
      </c>
      <c r="G108">
        <v>455</v>
      </c>
      <c r="H108">
        <v>22.75</v>
      </c>
      <c r="I108" s="5">
        <v>432.25</v>
      </c>
      <c r="J108" t="s">
        <v>25</v>
      </c>
      <c r="K108" t="s">
        <v>32</v>
      </c>
    </row>
    <row r="109" spans="1:11" x14ac:dyDescent="0.3">
      <c r="A109">
        <v>108</v>
      </c>
      <c r="B109" s="1">
        <v>45631</v>
      </c>
      <c r="C109" t="s">
        <v>136</v>
      </c>
      <c r="D109" t="s">
        <v>41</v>
      </c>
      <c r="E109">
        <v>1</v>
      </c>
      <c r="F109" s="6">
        <v>260</v>
      </c>
      <c r="G109">
        <v>260</v>
      </c>
      <c r="H109">
        <v>13</v>
      </c>
      <c r="I109" s="5">
        <v>247</v>
      </c>
      <c r="J109" t="s">
        <v>13</v>
      </c>
      <c r="K109" t="s">
        <v>18</v>
      </c>
    </row>
    <row r="110" spans="1:11" x14ac:dyDescent="0.3">
      <c r="A110">
        <v>109</v>
      </c>
      <c r="B110" s="1">
        <v>45331</v>
      </c>
      <c r="C110" t="s">
        <v>137</v>
      </c>
      <c r="D110" t="s">
        <v>12</v>
      </c>
      <c r="E110">
        <v>2</v>
      </c>
      <c r="F110" s="6">
        <v>105.5</v>
      </c>
      <c r="G110">
        <v>211</v>
      </c>
      <c r="H110">
        <v>10.55</v>
      </c>
      <c r="I110" s="5">
        <v>200.45</v>
      </c>
      <c r="J110" t="s">
        <v>21</v>
      </c>
      <c r="K110" t="s">
        <v>29</v>
      </c>
    </row>
    <row r="111" spans="1:11" x14ac:dyDescent="0.3">
      <c r="A111">
        <v>110</v>
      </c>
      <c r="B111" s="1">
        <v>45440</v>
      </c>
      <c r="C111" t="s">
        <v>138</v>
      </c>
      <c r="D111" t="s">
        <v>24</v>
      </c>
      <c r="E111">
        <v>3</v>
      </c>
      <c r="F111" s="6">
        <v>99.5</v>
      </c>
      <c r="G111">
        <v>298.5</v>
      </c>
      <c r="H111">
        <v>14.93</v>
      </c>
      <c r="I111" s="5">
        <v>283.57</v>
      </c>
      <c r="J111" t="s">
        <v>17</v>
      </c>
      <c r="K111" t="s">
        <v>26</v>
      </c>
    </row>
    <row r="112" spans="1:11" x14ac:dyDescent="0.3">
      <c r="A112">
        <v>111</v>
      </c>
      <c r="B112" s="1">
        <v>45515</v>
      </c>
      <c r="C112" t="s">
        <v>139</v>
      </c>
      <c r="D112" t="s">
        <v>20</v>
      </c>
      <c r="E112">
        <v>5</v>
      </c>
      <c r="F112" s="6">
        <v>60.5</v>
      </c>
      <c r="G112">
        <v>302.5</v>
      </c>
      <c r="H112">
        <v>15.13</v>
      </c>
      <c r="I112" s="5">
        <v>287.37</v>
      </c>
      <c r="J112" t="s">
        <v>25</v>
      </c>
      <c r="K112" t="s">
        <v>14</v>
      </c>
    </row>
    <row r="113" spans="1:11" x14ac:dyDescent="0.3">
      <c r="A113">
        <v>112</v>
      </c>
      <c r="B113" s="1">
        <v>45610</v>
      </c>
      <c r="C113" t="s">
        <v>140</v>
      </c>
      <c r="D113" t="s">
        <v>16</v>
      </c>
      <c r="E113">
        <v>2</v>
      </c>
      <c r="F113" s="6">
        <v>78</v>
      </c>
      <c r="G113">
        <v>156</v>
      </c>
      <c r="H113">
        <v>7.8</v>
      </c>
      <c r="I113" s="5">
        <v>148.19999999999999</v>
      </c>
      <c r="J113" t="s">
        <v>13</v>
      </c>
      <c r="K113" t="s">
        <v>22</v>
      </c>
    </row>
    <row r="114" spans="1:11" x14ac:dyDescent="0.3">
      <c r="A114">
        <v>113</v>
      </c>
      <c r="B114" s="1">
        <v>45403</v>
      </c>
      <c r="C114" t="s">
        <v>141</v>
      </c>
      <c r="D114" t="s">
        <v>28</v>
      </c>
      <c r="E114">
        <v>3</v>
      </c>
      <c r="F114" s="6">
        <v>36.5</v>
      </c>
      <c r="G114">
        <v>109.5</v>
      </c>
      <c r="H114">
        <v>5.48</v>
      </c>
      <c r="I114" s="5">
        <v>104.02</v>
      </c>
      <c r="J114" t="s">
        <v>21</v>
      </c>
      <c r="K114" t="s">
        <v>32</v>
      </c>
    </row>
    <row r="115" spans="1:11" x14ac:dyDescent="0.3">
      <c r="A115">
        <v>114</v>
      </c>
      <c r="B115" s="1">
        <v>45479</v>
      </c>
      <c r="C115" t="s">
        <v>142</v>
      </c>
      <c r="D115" t="s">
        <v>31</v>
      </c>
      <c r="E115">
        <v>4</v>
      </c>
      <c r="F115" s="6">
        <v>325</v>
      </c>
      <c r="G115">
        <v>1300</v>
      </c>
      <c r="H115">
        <v>65</v>
      </c>
      <c r="I115" s="5">
        <v>1235</v>
      </c>
      <c r="J115" t="s">
        <v>25</v>
      </c>
      <c r="K115" t="s">
        <v>18</v>
      </c>
    </row>
    <row r="116" spans="1:11" x14ac:dyDescent="0.3">
      <c r="A116">
        <v>115</v>
      </c>
      <c r="B116" s="1">
        <v>45566</v>
      </c>
      <c r="C116" t="s">
        <v>143</v>
      </c>
      <c r="D116" t="s">
        <v>34</v>
      </c>
      <c r="E116">
        <v>2</v>
      </c>
      <c r="F116" s="6">
        <v>390</v>
      </c>
      <c r="G116">
        <v>780</v>
      </c>
      <c r="H116">
        <v>39</v>
      </c>
      <c r="I116" s="5">
        <v>741</v>
      </c>
      <c r="J116" t="s">
        <v>17</v>
      </c>
      <c r="K116" t="s">
        <v>29</v>
      </c>
    </row>
    <row r="117" spans="1:11" x14ac:dyDescent="0.3">
      <c r="A117">
        <v>116</v>
      </c>
      <c r="B117" s="1">
        <v>45321</v>
      </c>
      <c r="C117" t="s">
        <v>144</v>
      </c>
      <c r="D117" t="s">
        <v>41</v>
      </c>
      <c r="E117">
        <v>5</v>
      </c>
      <c r="F117" s="6">
        <v>155</v>
      </c>
      <c r="G117">
        <v>775</v>
      </c>
      <c r="H117">
        <v>38.75</v>
      </c>
      <c r="I117" s="5">
        <v>736.25</v>
      </c>
      <c r="J117" t="s">
        <v>13</v>
      </c>
      <c r="K117" t="s">
        <v>26</v>
      </c>
    </row>
    <row r="118" spans="1:11" x14ac:dyDescent="0.3">
      <c r="A118">
        <v>117</v>
      </c>
      <c r="B118" s="1">
        <v>45357</v>
      </c>
      <c r="C118" t="s">
        <v>145</v>
      </c>
      <c r="D118" t="s">
        <v>12</v>
      </c>
      <c r="E118">
        <v>1</v>
      </c>
      <c r="F118" s="6">
        <v>130</v>
      </c>
      <c r="G118">
        <v>130</v>
      </c>
      <c r="H118">
        <v>6.5</v>
      </c>
      <c r="I118" s="5">
        <v>123.5</v>
      </c>
      <c r="J118" t="s">
        <v>17</v>
      </c>
      <c r="K118" t="s">
        <v>22</v>
      </c>
    </row>
    <row r="119" spans="1:11" x14ac:dyDescent="0.3">
      <c r="A119">
        <v>118</v>
      </c>
      <c r="B119" s="1">
        <v>45455</v>
      </c>
      <c r="C119" t="s">
        <v>146</v>
      </c>
      <c r="D119" t="s">
        <v>24</v>
      </c>
      <c r="E119">
        <v>5</v>
      </c>
      <c r="F119" s="6">
        <v>55.5</v>
      </c>
      <c r="G119">
        <v>277.5</v>
      </c>
      <c r="H119">
        <v>13.88</v>
      </c>
      <c r="I119" s="5">
        <v>263.62</v>
      </c>
      <c r="J119" t="s">
        <v>25</v>
      </c>
      <c r="K119" t="s">
        <v>14</v>
      </c>
    </row>
    <row r="120" spans="1:11" x14ac:dyDescent="0.3">
      <c r="A120">
        <v>119</v>
      </c>
      <c r="B120" s="1">
        <v>45557</v>
      </c>
      <c r="C120" t="s">
        <v>147</v>
      </c>
      <c r="D120" t="s">
        <v>20</v>
      </c>
      <c r="E120">
        <v>2</v>
      </c>
      <c r="F120" s="6">
        <v>79</v>
      </c>
      <c r="G120">
        <v>158</v>
      </c>
      <c r="H120">
        <v>7.9</v>
      </c>
      <c r="I120" s="5">
        <v>150.1</v>
      </c>
      <c r="J120" t="s">
        <v>21</v>
      </c>
      <c r="K120" t="s">
        <v>18</v>
      </c>
    </row>
    <row r="121" spans="1:11" x14ac:dyDescent="0.3">
      <c r="A121">
        <v>120</v>
      </c>
      <c r="B121" s="1">
        <v>45657</v>
      </c>
      <c r="C121" t="s">
        <v>148</v>
      </c>
      <c r="D121" t="s">
        <v>16</v>
      </c>
      <c r="E121">
        <v>3</v>
      </c>
      <c r="F121" s="6">
        <v>102</v>
      </c>
      <c r="G121">
        <v>306</v>
      </c>
      <c r="H121">
        <v>15.3</v>
      </c>
      <c r="I121" s="5">
        <v>290.7</v>
      </c>
      <c r="J121" t="s">
        <v>13</v>
      </c>
      <c r="K121" t="s">
        <v>32</v>
      </c>
    </row>
    <row r="122" spans="1:11" x14ac:dyDescent="0.3">
      <c r="A122">
        <v>121</v>
      </c>
      <c r="B122" s="1">
        <v>45344</v>
      </c>
      <c r="C122" t="s">
        <v>149</v>
      </c>
      <c r="D122" t="s">
        <v>28</v>
      </c>
      <c r="E122">
        <v>4</v>
      </c>
      <c r="F122" s="6">
        <v>30.5</v>
      </c>
      <c r="G122">
        <v>122</v>
      </c>
      <c r="H122">
        <v>6.1</v>
      </c>
      <c r="I122" s="5">
        <v>115.9</v>
      </c>
      <c r="J122" t="s">
        <v>17</v>
      </c>
      <c r="K122" t="s">
        <v>26</v>
      </c>
    </row>
    <row r="123" spans="1:11" x14ac:dyDescent="0.3">
      <c r="A123">
        <v>122</v>
      </c>
      <c r="B123" s="1">
        <v>45414</v>
      </c>
      <c r="C123" t="s">
        <v>150</v>
      </c>
      <c r="D123" t="s">
        <v>31</v>
      </c>
      <c r="E123">
        <v>1</v>
      </c>
      <c r="F123" s="6">
        <v>378</v>
      </c>
      <c r="G123">
        <v>378</v>
      </c>
      <c r="H123">
        <v>18.899999999999999</v>
      </c>
      <c r="I123" s="5">
        <v>359.1</v>
      </c>
      <c r="J123" t="s">
        <v>25</v>
      </c>
      <c r="K123" t="s">
        <v>29</v>
      </c>
    </row>
    <row r="124" spans="1:11" x14ac:dyDescent="0.3">
      <c r="A124">
        <v>123</v>
      </c>
      <c r="B124" s="1">
        <v>45523</v>
      </c>
      <c r="C124" t="s">
        <v>151</v>
      </c>
      <c r="D124" t="s">
        <v>12</v>
      </c>
      <c r="E124">
        <v>2</v>
      </c>
      <c r="F124" s="6">
        <v>142</v>
      </c>
      <c r="G124">
        <v>284</v>
      </c>
      <c r="H124">
        <v>14.2</v>
      </c>
      <c r="I124" s="5">
        <v>269.8</v>
      </c>
      <c r="J124" t="s">
        <v>13</v>
      </c>
      <c r="K124" t="s">
        <v>22</v>
      </c>
    </row>
    <row r="125" spans="1:11" x14ac:dyDescent="0.3">
      <c r="A125">
        <v>124</v>
      </c>
      <c r="B125" s="1">
        <v>45603</v>
      </c>
      <c r="C125" t="s">
        <v>152</v>
      </c>
      <c r="D125" t="s">
        <v>24</v>
      </c>
      <c r="E125">
        <v>1</v>
      </c>
      <c r="F125" s="6">
        <v>71.5</v>
      </c>
      <c r="G125">
        <v>71.5</v>
      </c>
      <c r="H125">
        <v>3.58</v>
      </c>
      <c r="I125" s="5">
        <v>67.92</v>
      </c>
      <c r="J125" t="s">
        <v>21</v>
      </c>
      <c r="K125" t="s">
        <v>14</v>
      </c>
    </row>
    <row r="126" spans="1:11" x14ac:dyDescent="0.3">
      <c r="A126">
        <v>125</v>
      </c>
      <c r="B126" s="1">
        <v>45393</v>
      </c>
      <c r="C126" t="s">
        <v>153</v>
      </c>
      <c r="D126" t="s">
        <v>20</v>
      </c>
      <c r="E126">
        <v>3</v>
      </c>
      <c r="F126" s="6">
        <v>82</v>
      </c>
      <c r="G126">
        <v>246</v>
      </c>
      <c r="H126">
        <v>12.3</v>
      </c>
      <c r="I126" s="5">
        <v>233.7</v>
      </c>
      <c r="J126" t="s">
        <v>17</v>
      </c>
      <c r="K126" t="s">
        <v>18</v>
      </c>
    </row>
    <row r="127" spans="1:11" x14ac:dyDescent="0.3">
      <c r="A127">
        <v>126</v>
      </c>
      <c r="B127" s="1">
        <v>45502</v>
      </c>
      <c r="C127" t="s">
        <v>154</v>
      </c>
      <c r="D127" t="s">
        <v>34</v>
      </c>
      <c r="E127">
        <v>4</v>
      </c>
      <c r="F127" s="6">
        <v>210</v>
      </c>
      <c r="G127">
        <v>840</v>
      </c>
      <c r="H127">
        <v>42</v>
      </c>
      <c r="I127" s="5">
        <v>798</v>
      </c>
      <c r="J127" t="s">
        <v>25</v>
      </c>
      <c r="K127" t="s">
        <v>29</v>
      </c>
    </row>
    <row r="128" spans="1:11" x14ac:dyDescent="0.3">
      <c r="A128">
        <v>127</v>
      </c>
      <c r="B128" s="1">
        <v>45589</v>
      </c>
      <c r="C128" t="s">
        <v>155</v>
      </c>
      <c r="D128" t="s">
        <v>16</v>
      </c>
      <c r="E128">
        <v>4</v>
      </c>
      <c r="F128" s="6">
        <v>63</v>
      </c>
      <c r="G128">
        <v>252</v>
      </c>
      <c r="H128">
        <v>12.6</v>
      </c>
      <c r="I128" s="5">
        <v>239.4</v>
      </c>
      <c r="J128" t="s">
        <v>13</v>
      </c>
      <c r="K128" t="s">
        <v>32</v>
      </c>
    </row>
    <row r="129" spans="1:11" x14ac:dyDescent="0.3">
      <c r="A129">
        <v>128</v>
      </c>
      <c r="B129" s="1">
        <v>45294</v>
      </c>
      <c r="C129" t="s">
        <v>156</v>
      </c>
      <c r="D129" t="s">
        <v>28</v>
      </c>
      <c r="E129">
        <v>2</v>
      </c>
      <c r="F129" s="6">
        <v>35</v>
      </c>
      <c r="G129">
        <v>70</v>
      </c>
      <c r="H129">
        <v>3.5</v>
      </c>
      <c r="I129" s="5">
        <v>66.5</v>
      </c>
      <c r="J129" t="s">
        <v>17</v>
      </c>
      <c r="K129" t="s">
        <v>14</v>
      </c>
    </row>
    <row r="130" spans="1:11" x14ac:dyDescent="0.3">
      <c r="A130">
        <v>129</v>
      </c>
      <c r="B130" s="1">
        <v>45371</v>
      </c>
      <c r="C130" t="s">
        <v>157</v>
      </c>
      <c r="D130" t="s">
        <v>31</v>
      </c>
      <c r="E130">
        <v>3</v>
      </c>
      <c r="F130" s="6">
        <v>350</v>
      </c>
      <c r="G130">
        <v>1050</v>
      </c>
      <c r="H130">
        <v>52.5</v>
      </c>
      <c r="I130" s="5">
        <v>997.5</v>
      </c>
      <c r="J130" t="s">
        <v>25</v>
      </c>
      <c r="K130" t="s">
        <v>22</v>
      </c>
    </row>
    <row r="131" spans="1:11" x14ac:dyDescent="0.3">
      <c r="A131">
        <v>130</v>
      </c>
      <c r="B131" s="1">
        <v>45458</v>
      </c>
      <c r="C131" t="s">
        <v>158</v>
      </c>
      <c r="D131" t="s">
        <v>41</v>
      </c>
      <c r="E131">
        <v>2</v>
      </c>
      <c r="F131" s="6">
        <v>185</v>
      </c>
      <c r="G131">
        <v>370</v>
      </c>
      <c r="H131">
        <v>18.5</v>
      </c>
      <c r="I131" s="5">
        <v>351.5</v>
      </c>
      <c r="J131" t="s">
        <v>21</v>
      </c>
      <c r="K131" t="s">
        <v>18</v>
      </c>
    </row>
    <row r="132" spans="1:11" x14ac:dyDescent="0.3">
      <c r="A132">
        <v>131</v>
      </c>
      <c r="B132" s="1">
        <v>45539</v>
      </c>
      <c r="C132" t="s">
        <v>159</v>
      </c>
      <c r="D132" t="s">
        <v>12</v>
      </c>
      <c r="E132">
        <v>3</v>
      </c>
      <c r="F132" s="6">
        <v>118</v>
      </c>
      <c r="G132">
        <v>354</v>
      </c>
      <c r="H132">
        <v>17.7</v>
      </c>
      <c r="I132" s="5">
        <v>336.3</v>
      </c>
      <c r="J132" t="s">
        <v>13</v>
      </c>
      <c r="K132" t="s">
        <v>29</v>
      </c>
    </row>
    <row r="133" spans="1:11" x14ac:dyDescent="0.3">
      <c r="A133">
        <v>132</v>
      </c>
      <c r="B133" s="1">
        <v>45638</v>
      </c>
      <c r="C133" t="s">
        <v>160</v>
      </c>
      <c r="D133" t="s">
        <v>24</v>
      </c>
      <c r="E133">
        <v>2</v>
      </c>
      <c r="F133" s="6">
        <v>93.5</v>
      </c>
      <c r="G133">
        <v>187</v>
      </c>
      <c r="H133">
        <v>9.35</v>
      </c>
      <c r="I133" s="5">
        <v>177.65</v>
      </c>
      <c r="J133" t="s">
        <v>17</v>
      </c>
      <c r="K133" t="s">
        <v>26</v>
      </c>
    </row>
    <row r="134" spans="1:11" x14ac:dyDescent="0.3">
      <c r="A134">
        <v>133</v>
      </c>
      <c r="B134" s="1">
        <v>45328</v>
      </c>
      <c r="C134" t="s">
        <v>161</v>
      </c>
      <c r="D134" t="s">
        <v>20</v>
      </c>
      <c r="E134">
        <v>1</v>
      </c>
      <c r="F134" s="6">
        <v>99</v>
      </c>
      <c r="G134">
        <v>99</v>
      </c>
      <c r="H134">
        <v>4.95</v>
      </c>
      <c r="I134" s="5">
        <v>94.05</v>
      </c>
      <c r="J134" t="s">
        <v>25</v>
      </c>
      <c r="K134" t="s">
        <v>32</v>
      </c>
    </row>
    <row r="135" spans="1:11" x14ac:dyDescent="0.3">
      <c r="A135">
        <v>134</v>
      </c>
      <c r="B135" s="1">
        <v>45438</v>
      </c>
      <c r="C135" t="s">
        <v>162</v>
      </c>
      <c r="D135" t="s">
        <v>16</v>
      </c>
      <c r="E135">
        <v>5</v>
      </c>
      <c r="F135" s="6">
        <v>55.5</v>
      </c>
      <c r="G135">
        <v>277.5</v>
      </c>
      <c r="H135">
        <v>13.88</v>
      </c>
      <c r="I135" s="5">
        <v>263.62</v>
      </c>
      <c r="J135" t="s">
        <v>13</v>
      </c>
      <c r="K135" t="s">
        <v>14</v>
      </c>
    </row>
    <row r="136" spans="1:11" x14ac:dyDescent="0.3">
      <c r="A136">
        <v>135</v>
      </c>
      <c r="B136" s="1">
        <v>45508</v>
      </c>
      <c r="C136" t="s">
        <v>163</v>
      </c>
      <c r="D136" t="s">
        <v>28</v>
      </c>
      <c r="E136">
        <v>3</v>
      </c>
      <c r="F136" s="6">
        <v>39</v>
      </c>
      <c r="G136">
        <v>117</v>
      </c>
      <c r="H136">
        <v>5.85</v>
      </c>
      <c r="I136" s="5">
        <v>111.15</v>
      </c>
      <c r="J136" t="s">
        <v>21</v>
      </c>
      <c r="K136" t="s">
        <v>18</v>
      </c>
    </row>
    <row r="137" spans="1:11" x14ac:dyDescent="0.3">
      <c r="A137">
        <v>136</v>
      </c>
      <c r="B137" s="1">
        <v>45614</v>
      </c>
      <c r="C137" t="s">
        <v>164</v>
      </c>
      <c r="D137" t="s">
        <v>31</v>
      </c>
      <c r="E137">
        <v>2</v>
      </c>
      <c r="F137" s="6">
        <v>415</v>
      </c>
      <c r="G137">
        <v>830</v>
      </c>
      <c r="H137">
        <v>41.5</v>
      </c>
      <c r="I137" s="5">
        <v>788.5</v>
      </c>
      <c r="J137" t="s">
        <v>17</v>
      </c>
      <c r="K137" t="s">
        <v>29</v>
      </c>
    </row>
    <row r="138" spans="1:11" x14ac:dyDescent="0.3">
      <c r="A138">
        <v>137</v>
      </c>
      <c r="B138" s="1">
        <v>45383</v>
      </c>
      <c r="C138" t="s">
        <v>33</v>
      </c>
      <c r="D138" t="s">
        <v>34</v>
      </c>
      <c r="E138">
        <v>1</v>
      </c>
      <c r="F138" s="6">
        <v>375</v>
      </c>
      <c r="G138">
        <v>375</v>
      </c>
      <c r="H138">
        <v>18.75</v>
      </c>
      <c r="I138" s="5">
        <v>356.25</v>
      </c>
      <c r="J138" t="s">
        <v>25</v>
      </c>
      <c r="K138" t="s">
        <v>22</v>
      </c>
    </row>
    <row r="139" spans="1:11" x14ac:dyDescent="0.3">
      <c r="A139">
        <v>138</v>
      </c>
      <c r="B139" s="1">
        <v>45489</v>
      </c>
      <c r="C139" t="s">
        <v>165</v>
      </c>
      <c r="D139" t="s">
        <v>41</v>
      </c>
      <c r="E139">
        <v>4</v>
      </c>
      <c r="F139" s="6">
        <v>165</v>
      </c>
      <c r="G139">
        <v>660</v>
      </c>
      <c r="H139">
        <v>33</v>
      </c>
      <c r="I139" s="5">
        <v>627</v>
      </c>
      <c r="J139" t="s">
        <v>13</v>
      </c>
      <c r="K139" t="s">
        <v>26</v>
      </c>
    </row>
    <row r="140" spans="1:11" x14ac:dyDescent="0.3">
      <c r="A140">
        <v>139</v>
      </c>
      <c r="B140" s="1">
        <v>45570</v>
      </c>
      <c r="C140" t="s">
        <v>166</v>
      </c>
      <c r="D140" t="s">
        <v>12</v>
      </c>
      <c r="E140">
        <v>2</v>
      </c>
      <c r="F140" s="6">
        <v>145.99</v>
      </c>
      <c r="G140">
        <v>291.98</v>
      </c>
      <c r="H140">
        <v>14.6</v>
      </c>
      <c r="I140" s="5">
        <v>277.38</v>
      </c>
      <c r="J140" t="s">
        <v>17</v>
      </c>
      <c r="K140" t="s">
        <v>32</v>
      </c>
    </row>
    <row r="141" spans="1:11" x14ac:dyDescent="0.3">
      <c r="A141">
        <v>140</v>
      </c>
      <c r="B141" s="1">
        <v>45319</v>
      </c>
      <c r="C141" t="s">
        <v>167</v>
      </c>
      <c r="D141" t="s">
        <v>24</v>
      </c>
      <c r="E141">
        <v>1</v>
      </c>
      <c r="F141" s="6">
        <v>84</v>
      </c>
      <c r="G141">
        <v>84</v>
      </c>
      <c r="H141">
        <v>4.2</v>
      </c>
      <c r="I141" s="5">
        <v>79.8</v>
      </c>
      <c r="J141" t="s">
        <v>25</v>
      </c>
      <c r="K141" t="s">
        <v>14</v>
      </c>
    </row>
    <row r="142" spans="1:11" x14ac:dyDescent="0.3">
      <c r="A142">
        <v>141</v>
      </c>
      <c r="B142" s="1">
        <v>45362</v>
      </c>
      <c r="C142" t="s">
        <v>168</v>
      </c>
      <c r="D142" t="s">
        <v>20</v>
      </c>
      <c r="E142">
        <v>5</v>
      </c>
      <c r="F142" s="6">
        <v>57.5</v>
      </c>
      <c r="G142">
        <v>287.5</v>
      </c>
      <c r="H142">
        <v>14.38</v>
      </c>
      <c r="I142" s="5">
        <v>273.12</v>
      </c>
      <c r="J142" t="s">
        <v>21</v>
      </c>
      <c r="K142" t="s">
        <v>29</v>
      </c>
    </row>
    <row r="143" spans="1:11" x14ac:dyDescent="0.3">
      <c r="A143">
        <v>142</v>
      </c>
      <c r="B143" s="1">
        <v>45450</v>
      </c>
      <c r="C143" t="s">
        <v>169</v>
      </c>
      <c r="D143" t="s">
        <v>16</v>
      </c>
      <c r="E143">
        <v>2</v>
      </c>
      <c r="F143" s="6">
        <v>90</v>
      </c>
      <c r="G143">
        <v>180</v>
      </c>
      <c r="H143">
        <v>9</v>
      </c>
      <c r="I143" s="5">
        <v>171</v>
      </c>
      <c r="J143" t="s">
        <v>13</v>
      </c>
      <c r="K143" t="s">
        <v>22</v>
      </c>
    </row>
    <row r="144" spans="1:11" x14ac:dyDescent="0.3">
      <c r="A144">
        <v>143</v>
      </c>
      <c r="B144" s="1">
        <v>45564</v>
      </c>
      <c r="C144" t="s">
        <v>170</v>
      </c>
      <c r="D144" t="s">
        <v>28</v>
      </c>
      <c r="E144">
        <v>4</v>
      </c>
      <c r="F144" s="6">
        <v>33.5</v>
      </c>
      <c r="G144">
        <v>134</v>
      </c>
      <c r="H144">
        <v>6.7</v>
      </c>
      <c r="I144" s="5">
        <v>127.3</v>
      </c>
      <c r="J144" t="s">
        <v>17</v>
      </c>
      <c r="K144" t="s">
        <v>18</v>
      </c>
    </row>
    <row r="145" spans="1:11" x14ac:dyDescent="0.3">
      <c r="A145">
        <v>144</v>
      </c>
      <c r="B145" s="1">
        <v>45651</v>
      </c>
      <c r="C145" t="s">
        <v>171</v>
      </c>
      <c r="D145" t="s">
        <v>31</v>
      </c>
      <c r="E145">
        <v>1</v>
      </c>
      <c r="F145" s="6">
        <v>395</v>
      </c>
      <c r="G145">
        <v>395</v>
      </c>
      <c r="H145">
        <v>19.75</v>
      </c>
      <c r="I145" s="5">
        <v>375.25</v>
      </c>
      <c r="J145" t="s">
        <v>25</v>
      </c>
      <c r="K145" t="s">
        <v>32</v>
      </c>
    </row>
    <row r="146" spans="1:11" x14ac:dyDescent="0.3">
      <c r="A146">
        <v>145</v>
      </c>
      <c r="B146" s="1">
        <v>45336</v>
      </c>
      <c r="C146" t="s">
        <v>172</v>
      </c>
      <c r="D146" t="s">
        <v>34</v>
      </c>
      <c r="E146">
        <v>2</v>
      </c>
      <c r="F146" s="6">
        <v>490</v>
      </c>
      <c r="G146">
        <v>980</v>
      </c>
      <c r="H146">
        <v>49</v>
      </c>
      <c r="I146" s="5">
        <v>931</v>
      </c>
      <c r="J146" t="s">
        <v>13</v>
      </c>
      <c r="K146" t="s">
        <v>29</v>
      </c>
    </row>
    <row r="147" spans="1:11" x14ac:dyDescent="0.3">
      <c r="A147">
        <v>146</v>
      </c>
      <c r="B147" s="1">
        <v>45421</v>
      </c>
      <c r="C147" t="s">
        <v>173</v>
      </c>
      <c r="D147" t="s">
        <v>41</v>
      </c>
      <c r="E147">
        <v>3</v>
      </c>
      <c r="F147" s="6">
        <v>175</v>
      </c>
      <c r="G147">
        <v>525</v>
      </c>
      <c r="H147">
        <v>26.25</v>
      </c>
      <c r="I147" s="5">
        <v>498.75</v>
      </c>
      <c r="J147" t="s">
        <v>17</v>
      </c>
      <c r="K147" t="s">
        <v>26</v>
      </c>
    </row>
    <row r="148" spans="1:11" x14ac:dyDescent="0.3">
      <c r="A148">
        <v>147</v>
      </c>
      <c r="B148" s="1">
        <v>45518</v>
      </c>
      <c r="C148" t="s">
        <v>174</v>
      </c>
      <c r="D148" t="s">
        <v>12</v>
      </c>
      <c r="E148">
        <v>3</v>
      </c>
      <c r="F148" s="6">
        <v>108</v>
      </c>
      <c r="G148">
        <v>324</v>
      </c>
      <c r="H148">
        <v>16.2</v>
      </c>
      <c r="I148" s="5">
        <v>307.8</v>
      </c>
      <c r="J148" t="s">
        <v>21</v>
      </c>
      <c r="K148" t="s">
        <v>22</v>
      </c>
    </row>
    <row r="149" spans="1:11" x14ac:dyDescent="0.3">
      <c r="A149">
        <v>148</v>
      </c>
      <c r="B149" s="1">
        <v>45624</v>
      </c>
      <c r="C149" t="s">
        <v>175</v>
      </c>
      <c r="D149" t="s">
        <v>24</v>
      </c>
      <c r="E149">
        <v>4</v>
      </c>
      <c r="F149" s="6">
        <v>62.5</v>
      </c>
      <c r="G149">
        <v>250</v>
      </c>
      <c r="H149">
        <v>12.5</v>
      </c>
      <c r="I149" s="5">
        <v>237.5</v>
      </c>
      <c r="J149" t="s">
        <v>13</v>
      </c>
      <c r="K149" t="s">
        <v>18</v>
      </c>
    </row>
    <row r="150" spans="1:11" x14ac:dyDescent="0.3">
      <c r="A150">
        <v>149</v>
      </c>
      <c r="B150" s="1">
        <v>45389</v>
      </c>
      <c r="C150" t="s">
        <v>176</v>
      </c>
      <c r="D150" t="s">
        <v>20</v>
      </c>
      <c r="E150">
        <v>2</v>
      </c>
      <c r="F150" s="6">
        <v>85</v>
      </c>
      <c r="G150">
        <v>170</v>
      </c>
      <c r="H150">
        <v>8.5</v>
      </c>
      <c r="I150" s="5">
        <v>161.5</v>
      </c>
      <c r="J150" t="s">
        <v>17</v>
      </c>
      <c r="K150" t="s">
        <v>14</v>
      </c>
    </row>
    <row r="151" spans="1:11" x14ac:dyDescent="0.3">
      <c r="A151">
        <v>150</v>
      </c>
      <c r="B151" s="1">
        <v>45484</v>
      </c>
      <c r="C151" t="s">
        <v>177</v>
      </c>
      <c r="D151" t="s">
        <v>16</v>
      </c>
      <c r="E151">
        <v>1</v>
      </c>
      <c r="F151" s="6">
        <v>98</v>
      </c>
      <c r="G151">
        <v>98</v>
      </c>
      <c r="H151">
        <v>4.9000000000000004</v>
      </c>
      <c r="I151" s="5">
        <v>93.1</v>
      </c>
      <c r="J151" t="s">
        <v>25</v>
      </c>
      <c r="K151" t="s">
        <v>29</v>
      </c>
    </row>
    <row r="152" spans="1:11" x14ac:dyDescent="0.3">
      <c r="A152">
        <v>151</v>
      </c>
      <c r="B152" s="1">
        <v>45596</v>
      </c>
      <c r="C152" t="s">
        <v>178</v>
      </c>
      <c r="D152" t="s">
        <v>28</v>
      </c>
      <c r="E152">
        <v>3</v>
      </c>
      <c r="F152" s="6">
        <v>37</v>
      </c>
      <c r="G152">
        <v>111</v>
      </c>
      <c r="H152">
        <v>5.55</v>
      </c>
      <c r="I152" s="5">
        <v>105.45</v>
      </c>
      <c r="J152" t="s">
        <v>21</v>
      </c>
      <c r="K152" t="s">
        <v>32</v>
      </c>
    </row>
    <row r="153" spans="1:11" x14ac:dyDescent="0.3">
      <c r="A153">
        <v>152</v>
      </c>
      <c r="B153" s="1">
        <v>45309</v>
      </c>
      <c r="C153" t="s">
        <v>179</v>
      </c>
      <c r="D153" t="s">
        <v>31</v>
      </c>
      <c r="E153">
        <v>4</v>
      </c>
      <c r="F153" s="6">
        <v>365</v>
      </c>
      <c r="G153">
        <v>1460</v>
      </c>
      <c r="H153">
        <v>73</v>
      </c>
      <c r="I153" s="5">
        <v>1387</v>
      </c>
      <c r="J153" t="s">
        <v>13</v>
      </c>
      <c r="K153" t="s">
        <v>18</v>
      </c>
    </row>
    <row r="154" spans="1:11" x14ac:dyDescent="0.3">
      <c r="A154">
        <v>153</v>
      </c>
      <c r="B154" s="1">
        <v>45378</v>
      </c>
      <c r="C154" t="s">
        <v>180</v>
      </c>
      <c r="D154" t="s">
        <v>12</v>
      </c>
      <c r="E154">
        <v>2</v>
      </c>
      <c r="F154" s="6">
        <v>75</v>
      </c>
      <c r="G154">
        <v>150</v>
      </c>
      <c r="H154">
        <v>7.5</v>
      </c>
      <c r="I154" s="5">
        <v>142.5</v>
      </c>
      <c r="J154" t="s">
        <v>17</v>
      </c>
      <c r="K154" t="s">
        <v>22</v>
      </c>
    </row>
    <row r="155" spans="1:11" x14ac:dyDescent="0.3">
      <c r="A155">
        <v>154</v>
      </c>
      <c r="B155" s="1">
        <v>45468</v>
      </c>
      <c r="C155" t="s">
        <v>181</v>
      </c>
      <c r="D155" t="s">
        <v>24</v>
      </c>
      <c r="E155">
        <v>1</v>
      </c>
      <c r="F155" s="6">
        <v>69</v>
      </c>
      <c r="G155">
        <v>69</v>
      </c>
      <c r="H155">
        <v>3.45</v>
      </c>
      <c r="I155" s="5">
        <v>65.55</v>
      </c>
      <c r="J155" t="s">
        <v>25</v>
      </c>
      <c r="K155" t="s">
        <v>29</v>
      </c>
    </row>
    <row r="156" spans="1:11" x14ac:dyDescent="0.3">
      <c r="A156">
        <v>155</v>
      </c>
      <c r="B156" s="1">
        <v>45551</v>
      </c>
      <c r="C156" t="s">
        <v>182</v>
      </c>
      <c r="D156" t="s">
        <v>20</v>
      </c>
      <c r="E156">
        <v>5</v>
      </c>
      <c r="F156" s="6">
        <v>58</v>
      </c>
      <c r="G156">
        <v>290</v>
      </c>
      <c r="H156">
        <v>14.5</v>
      </c>
      <c r="I156" s="5">
        <v>275.5</v>
      </c>
      <c r="J156" t="s">
        <v>21</v>
      </c>
      <c r="K156" t="s">
        <v>26</v>
      </c>
    </row>
    <row r="157" spans="1:11" x14ac:dyDescent="0.3">
      <c r="A157">
        <v>156</v>
      </c>
      <c r="B157" s="1">
        <v>45635</v>
      </c>
      <c r="C157" t="s">
        <v>183</v>
      </c>
      <c r="D157" t="s">
        <v>16</v>
      </c>
      <c r="E157">
        <v>3</v>
      </c>
      <c r="F157" s="6">
        <v>85.5</v>
      </c>
      <c r="G157">
        <v>256.5</v>
      </c>
      <c r="H157">
        <v>12.83</v>
      </c>
      <c r="I157" s="5">
        <v>243.67</v>
      </c>
      <c r="J157" t="s">
        <v>13</v>
      </c>
      <c r="K157" t="s">
        <v>32</v>
      </c>
    </row>
    <row r="158" spans="1:11" x14ac:dyDescent="0.3">
      <c r="A158">
        <v>157</v>
      </c>
      <c r="B158" s="1">
        <v>45323</v>
      </c>
      <c r="C158" t="s">
        <v>184</v>
      </c>
      <c r="D158" t="s">
        <v>28</v>
      </c>
      <c r="E158">
        <v>2</v>
      </c>
      <c r="F158" s="6">
        <v>36.5</v>
      </c>
      <c r="G158">
        <v>73</v>
      </c>
      <c r="H158">
        <v>3.65</v>
      </c>
      <c r="I158" s="5">
        <v>69.349999999999994</v>
      </c>
      <c r="J158" t="s">
        <v>17</v>
      </c>
      <c r="K158" t="s">
        <v>14</v>
      </c>
    </row>
    <row r="159" spans="1:11" x14ac:dyDescent="0.3">
      <c r="A159">
        <v>158</v>
      </c>
      <c r="B159" s="1">
        <v>45430</v>
      </c>
      <c r="C159" t="s">
        <v>185</v>
      </c>
      <c r="D159" t="s">
        <v>31</v>
      </c>
      <c r="E159">
        <v>1</v>
      </c>
      <c r="F159" s="6">
        <v>410</v>
      </c>
      <c r="G159">
        <v>410</v>
      </c>
      <c r="H159">
        <v>20.5</v>
      </c>
      <c r="I159" s="5">
        <v>389.5</v>
      </c>
      <c r="J159" t="s">
        <v>25</v>
      </c>
      <c r="K159" t="s">
        <v>22</v>
      </c>
    </row>
    <row r="160" spans="1:11" x14ac:dyDescent="0.3">
      <c r="A160">
        <v>159</v>
      </c>
      <c r="B160" s="1">
        <v>45514</v>
      </c>
      <c r="C160" t="s">
        <v>186</v>
      </c>
      <c r="D160" t="s">
        <v>34</v>
      </c>
      <c r="E160">
        <v>4</v>
      </c>
      <c r="F160" s="6">
        <v>290</v>
      </c>
      <c r="G160">
        <v>1160</v>
      </c>
      <c r="H160">
        <v>58</v>
      </c>
      <c r="I160" s="5">
        <v>1102</v>
      </c>
      <c r="J160" t="s">
        <v>21</v>
      </c>
      <c r="K160" t="s">
        <v>18</v>
      </c>
    </row>
    <row r="161" spans="1:11" x14ac:dyDescent="0.3">
      <c r="A161">
        <v>160</v>
      </c>
      <c r="B161" s="1">
        <v>45601</v>
      </c>
      <c r="C161" t="s">
        <v>187</v>
      </c>
      <c r="D161" t="s">
        <v>41</v>
      </c>
      <c r="E161">
        <v>5</v>
      </c>
      <c r="F161" s="6">
        <v>145</v>
      </c>
      <c r="G161">
        <v>725</v>
      </c>
      <c r="H161">
        <v>36.25</v>
      </c>
      <c r="I161" s="5">
        <v>688.75</v>
      </c>
      <c r="J161" t="s">
        <v>17</v>
      </c>
      <c r="K161" t="s">
        <v>29</v>
      </c>
    </row>
    <row r="162" spans="1:11" x14ac:dyDescent="0.3">
      <c r="A162">
        <v>161</v>
      </c>
      <c r="B162" s="1">
        <v>45397</v>
      </c>
      <c r="C162" t="s">
        <v>188</v>
      </c>
      <c r="D162" t="s">
        <v>12</v>
      </c>
      <c r="E162">
        <v>2</v>
      </c>
      <c r="F162" s="6">
        <v>115</v>
      </c>
      <c r="G162">
        <v>230</v>
      </c>
      <c r="H162">
        <v>11.5</v>
      </c>
      <c r="I162" s="5">
        <v>218.5</v>
      </c>
      <c r="J162" t="s">
        <v>13</v>
      </c>
      <c r="K162" t="s">
        <v>26</v>
      </c>
    </row>
    <row r="163" spans="1:11" x14ac:dyDescent="0.3">
      <c r="A163">
        <v>162</v>
      </c>
      <c r="B163" s="1">
        <v>45495</v>
      </c>
      <c r="C163" t="s">
        <v>189</v>
      </c>
      <c r="D163" t="s">
        <v>24</v>
      </c>
      <c r="E163">
        <v>3</v>
      </c>
      <c r="F163" s="6">
        <v>85.99</v>
      </c>
      <c r="G163">
        <v>257.97000000000003</v>
      </c>
      <c r="H163">
        <v>12.9</v>
      </c>
      <c r="I163" s="5">
        <v>245.07</v>
      </c>
      <c r="J163" t="s">
        <v>25</v>
      </c>
      <c r="K163" t="s">
        <v>32</v>
      </c>
    </row>
    <row r="164" spans="1:11" x14ac:dyDescent="0.3">
      <c r="A164">
        <v>163</v>
      </c>
      <c r="B164" s="1">
        <v>45585</v>
      </c>
      <c r="C164" t="s">
        <v>190</v>
      </c>
      <c r="D164" t="s">
        <v>20</v>
      </c>
      <c r="E164">
        <v>1</v>
      </c>
      <c r="F164" s="6">
        <v>102</v>
      </c>
      <c r="G164">
        <v>102</v>
      </c>
      <c r="H164">
        <v>5.0999999999999996</v>
      </c>
      <c r="I164" s="5">
        <v>96.9</v>
      </c>
      <c r="J164" t="s">
        <v>17</v>
      </c>
      <c r="K164" t="s">
        <v>14</v>
      </c>
    </row>
    <row r="165" spans="1:11" x14ac:dyDescent="0.3">
      <c r="A165">
        <v>164</v>
      </c>
      <c r="B165" s="1">
        <v>45317</v>
      </c>
      <c r="C165" t="s">
        <v>191</v>
      </c>
      <c r="D165" t="s">
        <v>16</v>
      </c>
      <c r="E165">
        <v>4</v>
      </c>
      <c r="F165" s="6">
        <v>70</v>
      </c>
      <c r="G165">
        <v>280</v>
      </c>
      <c r="H165">
        <v>14</v>
      </c>
      <c r="I165" s="5">
        <v>266</v>
      </c>
      <c r="J165" t="s">
        <v>13</v>
      </c>
      <c r="K165" t="s">
        <v>18</v>
      </c>
    </row>
    <row r="166" spans="1:11" x14ac:dyDescent="0.3">
      <c r="A166">
        <v>165</v>
      </c>
      <c r="B166" s="1">
        <v>45366</v>
      </c>
      <c r="C166" t="s">
        <v>192</v>
      </c>
      <c r="D166" t="s">
        <v>28</v>
      </c>
      <c r="E166">
        <v>5</v>
      </c>
      <c r="F166" s="6">
        <v>30.5</v>
      </c>
      <c r="G166">
        <v>152.5</v>
      </c>
      <c r="H166">
        <v>7.63</v>
      </c>
      <c r="I166" s="5">
        <v>144.87</v>
      </c>
      <c r="J166" t="s">
        <v>21</v>
      </c>
      <c r="K166" t="s">
        <v>22</v>
      </c>
    </row>
    <row r="167" spans="1:11" x14ac:dyDescent="0.3">
      <c r="A167">
        <v>166</v>
      </c>
      <c r="B167" s="1">
        <v>45453</v>
      </c>
      <c r="C167" t="s">
        <v>193</v>
      </c>
      <c r="D167" t="s">
        <v>31</v>
      </c>
      <c r="E167">
        <v>1</v>
      </c>
      <c r="F167" s="6">
        <v>360</v>
      </c>
      <c r="G167">
        <v>360</v>
      </c>
      <c r="H167">
        <v>18</v>
      </c>
      <c r="I167" s="5">
        <v>342</v>
      </c>
      <c r="J167" t="s">
        <v>25</v>
      </c>
      <c r="K167" t="s">
        <v>29</v>
      </c>
    </row>
    <row r="168" spans="1:11" x14ac:dyDescent="0.3">
      <c r="A168">
        <v>167</v>
      </c>
      <c r="B168" s="1">
        <v>45537</v>
      </c>
      <c r="C168" t="s">
        <v>194</v>
      </c>
      <c r="D168" t="s">
        <v>34</v>
      </c>
      <c r="E168">
        <v>2</v>
      </c>
      <c r="F168" s="6">
        <v>420</v>
      </c>
      <c r="G168">
        <v>840</v>
      </c>
      <c r="H168">
        <v>42</v>
      </c>
      <c r="I168" s="5">
        <v>798</v>
      </c>
      <c r="J168" t="s">
        <v>13</v>
      </c>
      <c r="K168" t="s">
        <v>26</v>
      </c>
    </row>
    <row r="169" spans="1:11" x14ac:dyDescent="0.3">
      <c r="A169">
        <v>168</v>
      </c>
      <c r="B169" s="1">
        <v>45644</v>
      </c>
      <c r="C169" t="s">
        <v>195</v>
      </c>
      <c r="D169" t="s">
        <v>41</v>
      </c>
      <c r="E169">
        <v>3</v>
      </c>
      <c r="F169" s="6">
        <v>190</v>
      </c>
      <c r="G169">
        <v>570</v>
      </c>
      <c r="H169">
        <v>28.5</v>
      </c>
      <c r="I169" s="5">
        <v>541.5</v>
      </c>
      <c r="J169" t="s">
        <v>21</v>
      </c>
      <c r="K169" t="s">
        <v>14</v>
      </c>
    </row>
    <row r="170" spans="1:11" x14ac:dyDescent="0.3">
      <c r="A170">
        <v>169</v>
      </c>
      <c r="B170" s="1">
        <v>45338</v>
      </c>
      <c r="C170" t="s">
        <v>196</v>
      </c>
      <c r="D170" t="s">
        <v>12</v>
      </c>
      <c r="E170">
        <v>1</v>
      </c>
      <c r="F170" s="6">
        <v>95</v>
      </c>
      <c r="G170">
        <v>95</v>
      </c>
      <c r="H170">
        <v>4.75</v>
      </c>
      <c r="I170" s="5">
        <v>90.25</v>
      </c>
      <c r="J170" t="s">
        <v>17</v>
      </c>
      <c r="K170" t="s">
        <v>22</v>
      </c>
    </row>
    <row r="171" spans="1:11" x14ac:dyDescent="0.3">
      <c r="A171">
        <v>170</v>
      </c>
      <c r="B171" s="1">
        <v>45437</v>
      </c>
      <c r="C171" t="s">
        <v>197</v>
      </c>
      <c r="D171" t="s">
        <v>24</v>
      </c>
      <c r="E171">
        <v>5</v>
      </c>
      <c r="F171" s="6">
        <v>58.5</v>
      </c>
      <c r="G171">
        <v>292.5</v>
      </c>
      <c r="H171">
        <v>14.63</v>
      </c>
      <c r="I171" s="5">
        <v>277.87</v>
      </c>
      <c r="J171" t="s">
        <v>25</v>
      </c>
      <c r="K171" t="s">
        <v>18</v>
      </c>
    </row>
    <row r="172" spans="1:11" x14ac:dyDescent="0.3">
      <c r="A172">
        <v>171</v>
      </c>
      <c r="B172" s="1">
        <v>45533</v>
      </c>
      <c r="C172" t="s">
        <v>198</v>
      </c>
      <c r="D172" t="s">
        <v>20</v>
      </c>
      <c r="E172">
        <v>3</v>
      </c>
      <c r="F172" s="6">
        <v>72</v>
      </c>
      <c r="G172">
        <v>216</v>
      </c>
      <c r="H172">
        <v>10.8</v>
      </c>
      <c r="I172" s="5">
        <v>205.2</v>
      </c>
      <c r="J172" t="s">
        <v>13</v>
      </c>
      <c r="K172" t="s">
        <v>32</v>
      </c>
    </row>
    <row r="173" spans="1:11" x14ac:dyDescent="0.3">
      <c r="A173">
        <v>172</v>
      </c>
      <c r="B173" s="1">
        <v>45609</v>
      </c>
      <c r="C173" t="s">
        <v>199</v>
      </c>
      <c r="D173" t="s">
        <v>16</v>
      </c>
      <c r="E173">
        <v>2</v>
      </c>
      <c r="F173" s="6">
        <v>69</v>
      </c>
      <c r="G173">
        <v>138</v>
      </c>
      <c r="H173">
        <v>6.9</v>
      </c>
      <c r="I173" s="5">
        <v>131.1</v>
      </c>
      <c r="J173" t="s">
        <v>21</v>
      </c>
      <c r="K173" t="s">
        <v>14</v>
      </c>
    </row>
    <row r="174" spans="1:11" x14ac:dyDescent="0.3">
      <c r="A174">
        <v>173</v>
      </c>
      <c r="B174" s="1">
        <v>45398</v>
      </c>
      <c r="C174" t="s">
        <v>200</v>
      </c>
      <c r="D174" t="s">
        <v>28</v>
      </c>
      <c r="E174">
        <v>3</v>
      </c>
      <c r="F174" s="6">
        <v>40</v>
      </c>
      <c r="G174">
        <v>120</v>
      </c>
      <c r="H174">
        <v>6</v>
      </c>
      <c r="I174" s="5">
        <v>114</v>
      </c>
      <c r="J174" t="s">
        <v>17</v>
      </c>
      <c r="K174" t="s">
        <v>26</v>
      </c>
    </row>
    <row r="175" spans="1:11" x14ac:dyDescent="0.3">
      <c r="A175">
        <v>174</v>
      </c>
      <c r="B175" s="1">
        <v>45480</v>
      </c>
      <c r="C175" t="s">
        <v>201</v>
      </c>
      <c r="D175" t="s">
        <v>31</v>
      </c>
      <c r="E175">
        <v>4</v>
      </c>
      <c r="F175" s="6">
        <v>350</v>
      </c>
      <c r="G175">
        <v>1400</v>
      </c>
      <c r="H175">
        <v>70</v>
      </c>
      <c r="I175" s="5">
        <v>1330</v>
      </c>
      <c r="J175" t="s">
        <v>25</v>
      </c>
      <c r="K175" t="s">
        <v>29</v>
      </c>
    </row>
    <row r="176" spans="1:11" x14ac:dyDescent="0.3">
      <c r="A176">
        <v>175</v>
      </c>
      <c r="B176" s="1">
        <v>45588</v>
      </c>
      <c r="C176" t="s">
        <v>202</v>
      </c>
      <c r="D176" t="s">
        <v>34</v>
      </c>
      <c r="E176">
        <v>1</v>
      </c>
      <c r="F176" s="6">
        <v>310</v>
      </c>
      <c r="G176">
        <v>310</v>
      </c>
      <c r="H176">
        <v>15.5</v>
      </c>
      <c r="I176" s="5">
        <v>294.5</v>
      </c>
      <c r="J176" t="s">
        <v>13</v>
      </c>
      <c r="K176" t="s">
        <v>22</v>
      </c>
    </row>
    <row r="177" spans="1:11" x14ac:dyDescent="0.3">
      <c r="A177">
        <v>176</v>
      </c>
      <c r="B177" s="1">
        <v>45313</v>
      </c>
      <c r="C177" t="s">
        <v>203</v>
      </c>
      <c r="D177" t="s">
        <v>41</v>
      </c>
      <c r="E177">
        <v>2</v>
      </c>
      <c r="F177" s="6">
        <v>205</v>
      </c>
      <c r="G177">
        <v>410</v>
      </c>
      <c r="H177">
        <v>20.5</v>
      </c>
      <c r="I177" s="5">
        <v>389.5</v>
      </c>
      <c r="J177" t="s">
        <v>17</v>
      </c>
      <c r="K177" t="s">
        <v>18</v>
      </c>
    </row>
    <row r="178" spans="1:11" x14ac:dyDescent="0.3">
      <c r="A178">
        <v>177</v>
      </c>
      <c r="B178" s="1">
        <v>45356</v>
      </c>
      <c r="C178" t="s">
        <v>204</v>
      </c>
      <c r="D178" t="s">
        <v>12</v>
      </c>
      <c r="E178">
        <v>5</v>
      </c>
      <c r="F178" s="6">
        <v>74</v>
      </c>
      <c r="G178">
        <v>370</v>
      </c>
      <c r="H178">
        <v>18.5</v>
      </c>
      <c r="I178" s="5">
        <v>351.5</v>
      </c>
      <c r="J178" t="s">
        <v>21</v>
      </c>
      <c r="K178" t="s">
        <v>32</v>
      </c>
    </row>
    <row r="179" spans="1:11" x14ac:dyDescent="0.3">
      <c r="A179">
        <v>178</v>
      </c>
      <c r="B179" s="1">
        <v>45447</v>
      </c>
      <c r="C179" t="s">
        <v>205</v>
      </c>
      <c r="D179" t="s">
        <v>24</v>
      </c>
      <c r="E179">
        <v>2</v>
      </c>
      <c r="F179" s="6">
        <v>97</v>
      </c>
      <c r="G179">
        <v>194</v>
      </c>
      <c r="H179">
        <v>9.6999999999999993</v>
      </c>
      <c r="I179" s="5">
        <v>184.3</v>
      </c>
      <c r="J179" t="s">
        <v>13</v>
      </c>
      <c r="K179" t="s">
        <v>14</v>
      </c>
    </row>
    <row r="180" spans="1:11" x14ac:dyDescent="0.3">
      <c r="A180">
        <v>179</v>
      </c>
      <c r="B180" s="1">
        <v>45565</v>
      </c>
      <c r="C180" t="s">
        <v>206</v>
      </c>
      <c r="D180" t="s">
        <v>20</v>
      </c>
      <c r="E180">
        <v>1</v>
      </c>
      <c r="F180" s="6">
        <v>105</v>
      </c>
      <c r="G180">
        <v>105</v>
      </c>
      <c r="H180">
        <v>5.25</v>
      </c>
      <c r="I180" s="5">
        <v>99.75</v>
      </c>
      <c r="J180" t="s">
        <v>25</v>
      </c>
      <c r="K180" t="s">
        <v>29</v>
      </c>
    </row>
    <row r="181" spans="1:11" x14ac:dyDescent="0.3">
      <c r="A181">
        <v>180</v>
      </c>
      <c r="B181" s="1">
        <v>45652</v>
      </c>
      <c r="C181" t="s">
        <v>207</v>
      </c>
      <c r="D181" t="s">
        <v>16</v>
      </c>
      <c r="E181">
        <v>3</v>
      </c>
      <c r="F181" s="6">
        <v>78.5</v>
      </c>
      <c r="G181">
        <v>235.5</v>
      </c>
      <c r="H181">
        <v>11.78</v>
      </c>
      <c r="I181" s="5">
        <v>223.72</v>
      </c>
      <c r="J181" t="s">
        <v>17</v>
      </c>
      <c r="K181" t="s">
        <v>26</v>
      </c>
    </row>
    <row r="182" spans="1:11" x14ac:dyDescent="0.3">
      <c r="A182">
        <v>181</v>
      </c>
      <c r="B182" s="1">
        <v>45335</v>
      </c>
      <c r="C182" t="s">
        <v>208</v>
      </c>
      <c r="D182" t="s">
        <v>28</v>
      </c>
      <c r="E182">
        <v>4</v>
      </c>
      <c r="F182" s="6">
        <v>39.5</v>
      </c>
      <c r="G182">
        <v>158</v>
      </c>
      <c r="H182">
        <v>7.9</v>
      </c>
      <c r="I182" s="5">
        <v>150.1</v>
      </c>
      <c r="J182" t="s">
        <v>13</v>
      </c>
      <c r="K182" t="s">
        <v>22</v>
      </c>
    </row>
    <row r="183" spans="1:11" x14ac:dyDescent="0.3">
      <c r="A183">
        <v>182</v>
      </c>
      <c r="B183" s="1">
        <v>45423</v>
      </c>
      <c r="C183" t="s">
        <v>209</v>
      </c>
      <c r="D183" t="s">
        <v>31</v>
      </c>
      <c r="E183">
        <v>1</v>
      </c>
      <c r="F183" s="6">
        <v>325</v>
      </c>
      <c r="G183">
        <v>325</v>
      </c>
      <c r="H183">
        <v>16.25</v>
      </c>
      <c r="I183" s="5">
        <v>308.75</v>
      </c>
      <c r="J183" t="s">
        <v>21</v>
      </c>
      <c r="K183" t="s">
        <v>32</v>
      </c>
    </row>
    <row r="184" spans="1:11" x14ac:dyDescent="0.3">
      <c r="A184">
        <v>183</v>
      </c>
      <c r="B184" s="1">
        <v>45522</v>
      </c>
      <c r="C184" t="s">
        <v>210</v>
      </c>
      <c r="D184" t="s">
        <v>12</v>
      </c>
      <c r="E184">
        <v>2</v>
      </c>
      <c r="F184" s="6">
        <v>99</v>
      </c>
      <c r="G184">
        <v>198</v>
      </c>
      <c r="H184">
        <v>9.9</v>
      </c>
      <c r="I184" s="5">
        <v>188.1</v>
      </c>
      <c r="J184" t="s">
        <v>25</v>
      </c>
      <c r="K184" t="s">
        <v>18</v>
      </c>
    </row>
    <row r="185" spans="1:11" x14ac:dyDescent="0.3">
      <c r="A185">
        <v>184</v>
      </c>
      <c r="B185" s="1">
        <v>45605</v>
      </c>
      <c r="C185" t="s">
        <v>211</v>
      </c>
      <c r="D185" t="s">
        <v>24</v>
      </c>
      <c r="E185">
        <v>4</v>
      </c>
      <c r="F185" s="6">
        <v>65</v>
      </c>
      <c r="G185">
        <v>260</v>
      </c>
      <c r="H185">
        <v>13</v>
      </c>
      <c r="I185" s="5">
        <v>247</v>
      </c>
      <c r="J185" t="s">
        <v>13</v>
      </c>
      <c r="K185" t="s">
        <v>14</v>
      </c>
    </row>
    <row r="186" spans="1:11" x14ac:dyDescent="0.3">
      <c r="A186">
        <v>185</v>
      </c>
      <c r="B186" s="1">
        <v>45392</v>
      </c>
      <c r="C186" t="s">
        <v>212</v>
      </c>
      <c r="D186" t="s">
        <v>20</v>
      </c>
      <c r="E186">
        <v>2</v>
      </c>
      <c r="F186" s="6">
        <v>90</v>
      </c>
      <c r="G186">
        <v>180</v>
      </c>
      <c r="H186">
        <v>9</v>
      </c>
      <c r="I186" s="5">
        <v>171</v>
      </c>
      <c r="J186" t="s">
        <v>17</v>
      </c>
      <c r="K186" t="s">
        <v>29</v>
      </c>
    </row>
    <row r="187" spans="1:11" x14ac:dyDescent="0.3">
      <c r="A187">
        <v>186</v>
      </c>
      <c r="B187" s="1">
        <v>45493</v>
      </c>
      <c r="C187" t="s">
        <v>213</v>
      </c>
      <c r="D187" t="s">
        <v>16</v>
      </c>
      <c r="E187">
        <v>1</v>
      </c>
      <c r="F187" s="6">
        <v>94</v>
      </c>
      <c r="G187">
        <v>94</v>
      </c>
      <c r="H187">
        <v>4.7</v>
      </c>
      <c r="I187" s="5">
        <v>89.3</v>
      </c>
      <c r="J187" t="s">
        <v>21</v>
      </c>
      <c r="K187" t="s">
        <v>26</v>
      </c>
    </row>
    <row r="188" spans="1:11" x14ac:dyDescent="0.3">
      <c r="A188">
        <v>187</v>
      </c>
      <c r="B188" s="1">
        <v>45569</v>
      </c>
      <c r="C188" t="s">
        <v>214</v>
      </c>
      <c r="D188" t="s">
        <v>28</v>
      </c>
      <c r="E188">
        <v>3</v>
      </c>
      <c r="F188" s="6">
        <v>37.5</v>
      </c>
      <c r="G188">
        <v>112.5</v>
      </c>
      <c r="H188">
        <v>5.63</v>
      </c>
      <c r="I188" s="5">
        <v>106.87</v>
      </c>
      <c r="J188" t="s">
        <v>25</v>
      </c>
      <c r="K188" t="s">
        <v>32</v>
      </c>
    </row>
    <row r="189" spans="1:11" x14ac:dyDescent="0.3">
      <c r="A189">
        <v>188</v>
      </c>
      <c r="B189" s="1">
        <v>45306</v>
      </c>
      <c r="C189" t="s">
        <v>215</v>
      </c>
      <c r="D189" t="s">
        <v>31</v>
      </c>
      <c r="E189">
        <v>2</v>
      </c>
      <c r="F189" s="6">
        <v>310</v>
      </c>
      <c r="G189">
        <v>620</v>
      </c>
      <c r="H189">
        <v>31</v>
      </c>
      <c r="I189" s="5">
        <v>589</v>
      </c>
      <c r="J189" t="s">
        <v>13</v>
      </c>
      <c r="K189" t="s">
        <v>14</v>
      </c>
    </row>
    <row r="190" spans="1:11" x14ac:dyDescent="0.3">
      <c r="A190">
        <v>189</v>
      </c>
      <c r="B190" s="1">
        <v>45373</v>
      </c>
      <c r="C190" t="s">
        <v>216</v>
      </c>
      <c r="D190" t="s">
        <v>34</v>
      </c>
      <c r="E190">
        <v>1</v>
      </c>
      <c r="F190" s="6">
        <v>450</v>
      </c>
      <c r="G190">
        <v>450</v>
      </c>
      <c r="H190">
        <v>22.5</v>
      </c>
      <c r="I190" s="5">
        <v>427.5</v>
      </c>
      <c r="J190" t="s">
        <v>17</v>
      </c>
      <c r="K190" t="s">
        <v>22</v>
      </c>
    </row>
    <row r="191" spans="1:11" x14ac:dyDescent="0.3">
      <c r="A191">
        <v>190</v>
      </c>
      <c r="B191" s="1">
        <v>45459</v>
      </c>
      <c r="C191" t="s">
        <v>217</v>
      </c>
      <c r="D191" t="s">
        <v>41</v>
      </c>
      <c r="E191">
        <v>5</v>
      </c>
      <c r="F191" s="6">
        <v>150</v>
      </c>
      <c r="G191">
        <v>750</v>
      </c>
      <c r="H191">
        <v>37.5</v>
      </c>
      <c r="I191" s="5">
        <v>712.5</v>
      </c>
      <c r="J191" t="s">
        <v>21</v>
      </c>
      <c r="K191" t="s">
        <v>18</v>
      </c>
    </row>
    <row r="192" spans="1:11" x14ac:dyDescent="0.3">
      <c r="A192">
        <v>191</v>
      </c>
      <c r="B192" s="1">
        <v>45547</v>
      </c>
      <c r="C192" t="s">
        <v>218</v>
      </c>
      <c r="D192" t="s">
        <v>12</v>
      </c>
      <c r="E192">
        <v>3</v>
      </c>
      <c r="F192" s="6">
        <v>125</v>
      </c>
      <c r="G192">
        <v>375</v>
      </c>
      <c r="H192">
        <v>18.75</v>
      </c>
      <c r="I192" s="5">
        <v>356.25</v>
      </c>
      <c r="J192" t="s">
        <v>25</v>
      </c>
      <c r="K192" t="s">
        <v>29</v>
      </c>
    </row>
    <row r="193" spans="1:11" x14ac:dyDescent="0.3">
      <c r="A193">
        <v>192</v>
      </c>
      <c r="B193" s="1">
        <v>45633</v>
      </c>
      <c r="C193" t="s">
        <v>219</v>
      </c>
      <c r="D193" t="s">
        <v>24</v>
      </c>
      <c r="E193">
        <v>1</v>
      </c>
      <c r="F193" s="6">
        <v>79.5</v>
      </c>
      <c r="G193">
        <v>79.5</v>
      </c>
      <c r="H193">
        <v>3.98</v>
      </c>
      <c r="I193" s="5">
        <v>75.52</v>
      </c>
      <c r="J193" t="s">
        <v>13</v>
      </c>
      <c r="K193" t="s">
        <v>32</v>
      </c>
    </row>
    <row r="194" spans="1:11" x14ac:dyDescent="0.3">
      <c r="A194">
        <v>193</v>
      </c>
      <c r="B194" s="1">
        <v>45326</v>
      </c>
      <c r="C194" t="s">
        <v>220</v>
      </c>
      <c r="D194" t="s">
        <v>20</v>
      </c>
      <c r="E194">
        <v>4</v>
      </c>
      <c r="F194" s="6">
        <v>65</v>
      </c>
      <c r="G194">
        <v>260</v>
      </c>
      <c r="H194">
        <v>13</v>
      </c>
      <c r="I194" s="5">
        <v>247</v>
      </c>
      <c r="J194" t="s">
        <v>17</v>
      </c>
      <c r="K194" t="s">
        <v>14</v>
      </c>
    </row>
    <row r="195" spans="1:11" x14ac:dyDescent="0.3">
      <c r="A195">
        <v>194</v>
      </c>
      <c r="B195" s="1">
        <v>45435</v>
      </c>
      <c r="C195" t="s">
        <v>221</v>
      </c>
      <c r="D195" t="s">
        <v>16</v>
      </c>
      <c r="E195">
        <v>3</v>
      </c>
      <c r="F195" s="6">
        <v>88</v>
      </c>
      <c r="G195">
        <v>264</v>
      </c>
      <c r="H195">
        <v>13.2</v>
      </c>
      <c r="I195" s="5">
        <v>250.8</v>
      </c>
      <c r="J195" t="s">
        <v>21</v>
      </c>
      <c r="K195" t="s">
        <v>18</v>
      </c>
    </row>
    <row r="196" spans="1:11" x14ac:dyDescent="0.3">
      <c r="A196">
        <v>195</v>
      </c>
      <c r="B196" s="1">
        <v>45507</v>
      </c>
      <c r="C196" t="s">
        <v>222</v>
      </c>
      <c r="D196" t="s">
        <v>28</v>
      </c>
      <c r="E196">
        <v>2</v>
      </c>
      <c r="F196" s="6">
        <v>31.5</v>
      </c>
      <c r="G196">
        <v>63</v>
      </c>
      <c r="H196">
        <v>3.15</v>
      </c>
      <c r="I196" s="5">
        <v>59.85</v>
      </c>
      <c r="J196" t="s">
        <v>25</v>
      </c>
      <c r="K196" t="s">
        <v>29</v>
      </c>
    </row>
    <row r="197" spans="1:11" x14ac:dyDescent="0.3">
      <c r="A197">
        <v>196</v>
      </c>
      <c r="B197" s="1">
        <v>45626</v>
      </c>
      <c r="C197" t="s">
        <v>223</v>
      </c>
      <c r="D197" t="s">
        <v>31</v>
      </c>
      <c r="E197">
        <v>3</v>
      </c>
      <c r="F197" s="6">
        <v>340</v>
      </c>
      <c r="G197">
        <v>1020</v>
      </c>
      <c r="H197">
        <v>51</v>
      </c>
      <c r="I197" s="5">
        <v>969</v>
      </c>
      <c r="J197" t="s">
        <v>13</v>
      </c>
      <c r="K197" t="s">
        <v>26</v>
      </c>
    </row>
    <row r="198" spans="1:11" x14ac:dyDescent="0.3">
      <c r="A198">
        <v>197</v>
      </c>
      <c r="B198" s="1">
        <v>45385</v>
      </c>
      <c r="C198" t="s">
        <v>224</v>
      </c>
      <c r="D198" t="s">
        <v>34</v>
      </c>
      <c r="E198">
        <v>2</v>
      </c>
      <c r="F198" s="6">
        <v>390</v>
      </c>
      <c r="G198">
        <v>780</v>
      </c>
      <c r="H198">
        <v>39</v>
      </c>
      <c r="I198" s="5">
        <v>741</v>
      </c>
      <c r="J198" t="s">
        <v>21</v>
      </c>
      <c r="K198" t="s">
        <v>32</v>
      </c>
    </row>
    <row r="199" spans="1:11" x14ac:dyDescent="0.3">
      <c r="A199">
        <v>198</v>
      </c>
      <c r="B199" s="1">
        <v>45497</v>
      </c>
      <c r="C199" t="s">
        <v>225</v>
      </c>
      <c r="D199" t="s">
        <v>41</v>
      </c>
      <c r="E199">
        <v>4</v>
      </c>
      <c r="F199" s="6">
        <v>175</v>
      </c>
      <c r="G199">
        <v>700</v>
      </c>
      <c r="H199">
        <v>35</v>
      </c>
      <c r="I199" s="5">
        <v>665</v>
      </c>
      <c r="J199" t="s">
        <v>17</v>
      </c>
      <c r="K199" t="s">
        <v>22</v>
      </c>
    </row>
    <row r="200" spans="1:11" x14ac:dyDescent="0.3">
      <c r="A200">
        <v>199</v>
      </c>
      <c r="B200" s="1">
        <v>45578</v>
      </c>
      <c r="C200" t="s">
        <v>226</v>
      </c>
      <c r="D200" t="s">
        <v>12</v>
      </c>
      <c r="E200">
        <v>1</v>
      </c>
      <c r="F200" s="6">
        <v>105</v>
      </c>
      <c r="G200">
        <v>105</v>
      </c>
      <c r="H200">
        <v>5.25</v>
      </c>
      <c r="I200" s="5">
        <v>99.75</v>
      </c>
      <c r="J200" t="s">
        <v>13</v>
      </c>
      <c r="K200" t="s">
        <v>18</v>
      </c>
    </row>
    <row r="201" spans="1:11" x14ac:dyDescent="0.3">
      <c r="A201">
        <v>200</v>
      </c>
      <c r="B201" s="1">
        <v>45302</v>
      </c>
      <c r="C201" t="s">
        <v>227</v>
      </c>
      <c r="D201" t="s">
        <v>24</v>
      </c>
      <c r="E201">
        <v>5</v>
      </c>
      <c r="F201" s="6">
        <v>54.5</v>
      </c>
      <c r="G201">
        <v>272.5</v>
      </c>
      <c r="H201">
        <v>13.63</v>
      </c>
      <c r="I201" s="5">
        <v>258.87</v>
      </c>
      <c r="J201" t="s">
        <v>25</v>
      </c>
      <c r="K201" t="s">
        <v>14</v>
      </c>
    </row>
    <row r="202" spans="1:11" x14ac:dyDescent="0.3">
      <c r="A202">
        <v>201</v>
      </c>
      <c r="B202" s="1">
        <v>45360</v>
      </c>
      <c r="C202" t="s">
        <v>228</v>
      </c>
      <c r="D202" t="s">
        <v>20</v>
      </c>
      <c r="E202">
        <v>2</v>
      </c>
      <c r="F202" s="6">
        <v>82</v>
      </c>
      <c r="G202">
        <v>164</v>
      </c>
      <c r="H202">
        <v>8.1999999999999993</v>
      </c>
      <c r="I202" s="5">
        <v>155.80000000000001</v>
      </c>
      <c r="J202" t="s">
        <v>21</v>
      </c>
      <c r="K202" t="s">
        <v>29</v>
      </c>
    </row>
    <row r="203" spans="1:11" x14ac:dyDescent="0.3">
      <c r="A203">
        <v>202</v>
      </c>
      <c r="B203" s="1">
        <v>45465</v>
      </c>
      <c r="C203" t="s">
        <v>229</v>
      </c>
      <c r="D203" t="s">
        <v>16</v>
      </c>
      <c r="E203">
        <v>1</v>
      </c>
      <c r="F203" s="6">
        <v>96</v>
      </c>
      <c r="G203">
        <v>96</v>
      </c>
      <c r="H203">
        <v>4.8</v>
      </c>
      <c r="I203" s="5">
        <v>91.2</v>
      </c>
      <c r="J203" t="s">
        <v>13</v>
      </c>
      <c r="K203" t="s">
        <v>32</v>
      </c>
    </row>
    <row r="204" spans="1:11" x14ac:dyDescent="0.3">
      <c r="A204">
        <v>203</v>
      </c>
      <c r="B204" s="1">
        <v>45550</v>
      </c>
      <c r="C204" t="s">
        <v>230</v>
      </c>
      <c r="D204" t="s">
        <v>28</v>
      </c>
      <c r="E204">
        <v>4</v>
      </c>
      <c r="F204" s="6">
        <v>33</v>
      </c>
      <c r="G204">
        <v>132</v>
      </c>
      <c r="H204">
        <v>6.6</v>
      </c>
      <c r="I204" s="5">
        <v>125.4</v>
      </c>
      <c r="J204" t="s">
        <v>17</v>
      </c>
      <c r="K204" t="s">
        <v>18</v>
      </c>
    </row>
    <row r="205" spans="1:11" x14ac:dyDescent="0.3">
      <c r="A205">
        <v>204</v>
      </c>
      <c r="B205" s="1">
        <v>45653</v>
      </c>
      <c r="C205" t="s">
        <v>231</v>
      </c>
      <c r="D205" t="s">
        <v>31</v>
      </c>
      <c r="E205">
        <v>3</v>
      </c>
      <c r="F205" s="6">
        <v>345</v>
      </c>
      <c r="G205">
        <v>1035</v>
      </c>
      <c r="H205">
        <v>51.75</v>
      </c>
      <c r="I205" s="5">
        <v>983.25</v>
      </c>
      <c r="J205" t="s">
        <v>25</v>
      </c>
      <c r="K205" t="s">
        <v>22</v>
      </c>
    </row>
    <row r="206" spans="1:11" x14ac:dyDescent="0.3">
      <c r="A206">
        <v>205</v>
      </c>
      <c r="B206" s="1">
        <v>45341</v>
      </c>
      <c r="C206" t="s">
        <v>232</v>
      </c>
      <c r="D206" t="s">
        <v>34</v>
      </c>
      <c r="E206">
        <v>1</v>
      </c>
      <c r="F206" s="6">
        <v>430</v>
      </c>
      <c r="G206">
        <v>430</v>
      </c>
      <c r="H206">
        <v>21.5</v>
      </c>
      <c r="I206" s="5">
        <v>408.5</v>
      </c>
      <c r="J206" t="s">
        <v>13</v>
      </c>
      <c r="K206" t="s">
        <v>14</v>
      </c>
    </row>
    <row r="207" spans="1:11" x14ac:dyDescent="0.3">
      <c r="A207">
        <v>206</v>
      </c>
      <c r="B207" s="1">
        <v>45418</v>
      </c>
      <c r="C207" t="s">
        <v>233</v>
      </c>
      <c r="D207" t="s">
        <v>41</v>
      </c>
      <c r="E207">
        <v>3</v>
      </c>
      <c r="F207" s="6">
        <v>185</v>
      </c>
      <c r="G207">
        <v>555</v>
      </c>
      <c r="H207">
        <v>27.75</v>
      </c>
      <c r="I207" s="5">
        <v>527.25</v>
      </c>
      <c r="J207" t="s">
        <v>17</v>
      </c>
      <c r="K207" t="s">
        <v>29</v>
      </c>
    </row>
    <row r="208" spans="1:11" x14ac:dyDescent="0.3">
      <c r="A208">
        <v>207</v>
      </c>
      <c r="B208" s="1">
        <v>45521</v>
      </c>
      <c r="C208" t="s">
        <v>234</v>
      </c>
      <c r="D208" t="s">
        <v>12</v>
      </c>
      <c r="E208">
        <v>2</v>
      </c>
      <c r="F208" s="6">
        <v>115.5</v>
      </c>
      <c r="G208">
        <v>231</v>
      </c>
      <c r="H208">
        <v>11.55</v>
      </c>
      <c r="I208" s="5">
        <v>219.45</v>
      </c>
      <c r="J208" t="s">
        <v>21</v>
      </c>
      <c r="K208" t="s">
        <v>26</v>
      </c>
    </row>
    <row r="209" spans="1:11" x14ac:dyDescent="0.3">
      <c r="A209">
        <v>208</v>
      </c>
      <c r="B209" s="1">
        <v>45600</v>
      </c>
      <c r="C209" t="s">
        <v>235</v>
      </c>
      <c r="D209" t="s">
        <v>24</v>
      </c>
      <c r="E209">
        <v>5</v>
      </c>
      <c r="F209" s="6">
        <v>59</v>
      </c>
      <c r="G209">
        <v>295</v>
      </c>
      <c r="H209">
        <v>14.75</v>
      </c>
      <c r="I209" s="5">
        <v>280.25</v>
      </c>
      <c r="J209" t="s">
        <v>25</v>
      </c>
      <c r="K209" t="s">
        <v>32</v>
      </c>
    </row>
    <row r="210" spans="1:11" x14ac:dyDescent="0.3">
      <c r="A210">
        <v>209</v>
      </c>
      <c r="B210" s="1">
        <v>45388</v>
      </c>
      <c r="C210" t="s">
        <v>236</v>
      </c>
      <c r="D210" t="s">
        <v>20</v>
      </c>
      <c r="E210">
        <v>4</v>
      </c>
      <c r="F210" s="6">
        <v>71</v>
      </c>
      <c r="G210">
        <v>284</v>
      </c>
      <c r="H210">
        <v>14.2</v>
      </c>
      <c r="I210" s="5">
        <v>269.8</v>
      </c>
      <c r="J210" t="s">
        <v>13</v>
      </c>
      <c r="K210" t="s">
        <v>18</v>
      </c>
    </row>
    <row r="211" spans="1:11" x14ac:dyDescent="0.3">
      <c r="A211">
        <v>210</v>
      </c>
      <c r="B211" s="1">
        <v>45500</v>
      </c>
      <c r="C211" t="s">
        <v>237</v>
      </c>
      <c r="D211" t="s">
        <v>16</v>
      </c>
      <c r="E211">
        <v>2</v>
      </c>
      <c r="F211" s="6">
        <v>91</v>
      </c>
      <c r="G211">
        <v>182</v>
      </c>
      <c r="H211">
        <v>9.1</v>
      </c>
      <c r="I211" s="5">
        <v>172.9</v>
      </c>
      <c r="J211" t="s">
        <v>17</v>
      </c>
      <c r="K211" t="s">
        <v>14</v>
      </c>
    </row>
    <row r="212" spans="1:11" x14ac:dyDescent="0.3">
      <c r="A212">
        <v>211</v>
      </c>
      <c r="B212" s="1">
        <v>45590</v>
      </c>
      <c r="C212" t="s">
        <v>238</v>
      </c>
      <c r="D212" t="s">
        <v>28</v>
      </c>
      <c r="E212">
        <v>3</v>
      </c>
      <c r="F212" s="6">
        <v>35</v>
      </c>
      <c r="G212">
        <v>105</v>
      </c>
      <c r="H212">
        <v>5.25</v>
      </c>
      <c r="I212" s="5">
        <v>99.75</v>
      </c>
      <c r="J212" t="s">
        <v>21</v>
      </c>
      <c r="K212" t="s">
        <v>22</v>
      </c>
    </row>
    <row r="213" spans="1:11" x14ac:dyDescent="0.3">
      <c r="A213">
        <v>212</v>
      </c>
      <c r="B213" s="1">
        <v>45311</v>
      </c>
      <c r="C213" t="s">
        <v>239</v>
      </c>
      <c r="D213" t="s">
        <v>31</v>
      </c>
      <c r="E213">
        <v>5</v>
      </c>
      <c r="F213" s="6">
        <v>280</v>
      </c>
      <c r="G213">
        <v>1400</v>
      </c>
      <c r="H213">
        <v>70</v>
      </c>
      <c r="I213" s="5">
        <v>1330</v>
      </c>
      <c r="J213" t="s">
        <v>25</v>
      </c>
      <c r="K213" t="s">
        <v>29</v>
      </c>
    </row>
    <row r="214" spans="1:11" x14ac:dyDescent="0.3">
      <c r="A214">
        <v>213</v>
      </c>
      <c r="B214" s="1">
        <v>45374</v>
      </c>
      <c r="C214" t="s">
        <v>240</v>
      </c>
      <c r="D214" t="s">
        <v>34</v>
      </c>
      <c r="E214">
        <v>2</v>
      </c>
      <c r="F214" s="6">
        <v>350</v>
      </c>
      <c r="G214">
        <v>700</v>
      </c>
      <c r="H214">
        <v>35</v>
      </c>
      <c r="I214" s="5">
        <v>665</v>
      </c>
      <c r="J214" t="s">
        <v>13</v>
      </c>
      <c r="K214" t="s">
        <v>26</v>
      </c>
    </row>
    <row r="215" spans="1:11" x14ac:dyDescent="0.3">
      <c r="A215">
        <v>214</v>
      </c>
      <c r="B215" s="1">
        <v>45471</v>
      </c>
      <c r="C215" t="s">
        <v>241</v>
      </c>
      <c r="D215" t="s">
        <v>41</v>
      </c>
      <c r="E215">
        <v>1</v>
      </c>
      <c r="F215" s="6">
        <v>230</v>
      </c>
      <c r="G215">
        <v>230</v>
      </c>
      <c r="H215">
        <v>11.5</v>
      </c>
      <c r="I215" s="5">
        <v>218.5</v>
      </c>
      <c r="J215" t="s">
        <v>17</v>
      </c>
      <c r="K215" t="s">
        <v>32</v>
      </c>
    </row>
    <row r="216" spans="1:11" x14ac:dyDescent="0.3">
      <c r="A216">
        <v>215</v>
      </c>
      <c r="B216" s="1">
        <v>45544</v>
      </c>
      <c r="C216" t="s">
        <v>242</v>
      </c>
      <c r="D216" t="s">
        <v>12</v>
      </c>
      <c r="E216">
        <v>4</v>
      </c>
      <c r="F216" s="6">
        <v>99</v>
      </c>
      <c r="G216">
        <v>396</v>
      </c>
      <c r="H216">
        <v>19.8</v>
      </c>
      <c r="I216" s="5">
        <v>376.2</v>
      </c>
      <c r="J216" t="s">
        <v>21</v>
      </c>
      <c r="K216" t="s">
        <v>18</v>
      </c>
    </row>
    <row r="217" spans="1:11" x14ac:dyDescent="0.3">
      <c r="A217">
        <v>216</v>
      </c>
      <c r="B217" s="1">
        <v>45642</v>
      </c>
      <c r="C217" t="s">
        <v>243</v>
      </c>
      <c r="D217" t="s">
        <v>24</v>
      </c>
      <c r="E217">
        <v>2</v>
      </c>
      <c r="F217" s="6">
        <v>72</v>
      </c>
      <c r="G217">
        <v>144</v>
      </c>
      <c r="H217">
        <v>7.2</v>
      </c>
      <c r="I217" s="5">
        <v>136.80000000000001</v>
      </c>
      <c r="J217" t="s">
        <v>25</v>
      </c>
      <c r="K217" t="s">
        <v>14</v>
      </c>
    </row>
    <row r="218" spans="1:11" x14ac:dyDescent="0.3">
      <c r="A218">
        <v>217</v>
      </c>
      <c r="B218" s="1">
        <v>45348</v>
      </c>
      <c r="C218" t="s">
        <v>244</v>
      </c>
      <c r="D218" t="s">
        <v>20</v>
      </c>
      <c r="E218">
        <v>1</v>
      </c>
      <c r="F218" s="6">
        <v>91</v>
      </c>
      <c r="G218">
        <v>91</v>
      </c>
      <c r="H218">
        <v>4.55</v>
      </c>
      <c r="I218" s="5">
        <v>86.45</v>
      </c>
      <c r="J218" t="s">
        <v>13</v>
      </c>
      <c r="K218" t="s">
        <v>22</v>
      </c>
    </row>
    <row r="219" spans="1:11" x14ac:dyDescent="0.3">
      <c r="A219">
        <v>218</v>
      </c>
      <c r="B219" s="1">
        <v>45419</v>
      </c>
      <c r="C219" t="s">
        <v>245</v>
      </c>
      <c r="D219" t="s">
        <v>16</v>
      </c>
      <c r="E219">
        <v>5</v>
      </c>
      <c r="F219" s="6">
        <v>52.5</v>
      </c>
      <c r="G219">
        <v>262.5</v>
      </c>
      <c r="H219">
        <v>13.13</v>
      </c>
      <c r="I219" s="5">
        <v>249.37</v>
      </c>
      <c r="J219" t="s">
        <v>17</v>
      </c>
      <c r="K219" t="s">
        <v>29</v>
      </c>
    </row>
    <row r="220" spans="1:11" x14ac:dyDescent="0.3">
      <c r="A220">
        <v>219</v>
      </c>
      <c r="B220" s="1">
        <v>45517</v>
      </c>
      <c r="C220" t="s">
        <v>246</v>
      </c>
      <c r="D220" t="s">
        <v>28</v>
      </c>
      <c r="E220">
        <v>3</v>
      </c>
      <c r="F220" s="6">
        <v>38</v>
      </c>
      <c r="G220">
        <v>114</v>
      </c>
      <c r="H220">
        <v>5.7</v>
      </c>
      <c r="I220" s="5">
        <v>108.3</v>
      </c>
      <c r="J220" t="s">
        <v>21</v>
      </c>
      <c r="K220" t="s">
        <v>26</v>
      </c>
    </row>
    <row r="221" spans="1:11" x14ac:dyDescent="0.3">
      <c r="A221">
        <v>220</v>
      </c>
      <c r="B221" s="1">
        <v>45620</v>
      </c>
      <c r="C221" t="s">
        <v>247</v>
      </c>
      <c r="D221" t="s">
        <v>31</v>
      </c>
      <c r="E221">
        <v>1</v>
      </c>
      <c r="F221" s="6">
        <v>380</v>
      </c>
      <c r="G221">
        <v>380</v>
      </c>
      <c r="H221">
        <v>19</v>
      </c>
      <c r="I221" s="5">
        <v>361</v>
      </c>
      <c r="J221" t="s">
        <v>25</v>
      </c>
      <c r="K221" t="s">
        <v>32</v>
      </c>
    </row>
    <row r="222" spans="1:11" x14ac:dyDescent="0.3">
      <c r="A222">
        <v>221</v>
      </c>
      <c r="B222" s="1">
        <v>45400</v>
      </c>
      <c r="C222" t="s">
        <v>248</v>
      </c>
      <c r="D222" t="s">
        <v>34</v>
      </c>
      <c r="E222">
        <v>2</v>
      </c>
      <c r="F222" s="6">
        <v>260</v>
      </c>
      <c r="G222">
        <v>520</v>
      </c>
      <c r="H222">
        <v>26</v>
      </c>
      <c r="I222" s="5">
        <v>494</v>
      </c>
      <c r="J222" t="s">
        <v>13</v>
      </c>
      <c r="K222" t="s">
        <v>18</v>
      </c>
    </row>
    <row r="223" spans="1:11" x14ac:dyDescent="0.3">
      <c r="A223">
        <v>222</v>
      </c>
      <c r="B223" s="1">
        <v>45486</v>
      </c>
      <c r="C223" t="s">
        <v>249</v>
      </c>
      <c r="D223" t="s">
        <v>41</v>
      </c>
      <c r="E223">
        <v>3</v>
      </c>
      <c r="F223" s="6">
        <v>195</v>
      </c>
      <c r="G223">
        <v>585</v>
      </c>
      <c r="H223">
        <v>29.25</v>
      </c>
      <c r="I223" s="5">
        <v>555.75</v>
      </c>
      <c r="J223" t="s">
        <v>17</v>
      </c>
      <c r="K223" t="s">
        <v>14</v>
      </c>
    </row>
    <row r="224" spans="1:11" x14ac:dyDescent="0.3">
      <c r="A224">
        <v>223</v>
      </c>
      <c r="B224" s="1">
        <v>45581</v>
      </c>
      <c r="C224" t="s">
        <v>250</v>
      </c>
      <c r="D224" t="s">
        <v>12</v>
      </c>
      <c r="E224">
        <v>2</v>
      </c>
      <c r="F224" s="6">
        <v>135</v>
      </c>
      <c r="G224">
        <v>270</v>
      </c>
      <c r="H224">
        <v>13.5</v>
      </c>
      <c r="I224" s="5">
        <v>256.5</v>
      </c>
      <c r="J224" t="s">
        <v>21</v>
      </c>
      <c r="K224" t="s">
        <v>29</v>
      </c>
    </row>
    <row r="225" spans="1:11" x14ac:dyDescent="0.3">
      <c r="A225">
        <v>224</v>
      </c>
      <c r="B225" s="1">
        <v>45298</v>
      </c>
      <c r="C225" t="s">
        <v>251</v>
      </c>
      <c r="D225" t="s">
        <v>24</v>
      </c>
      <c r="E225">
        <v>5</v>
      </c>
      <c r="F225" s="6">
        <v>57</v>
      </c>
      <c r="G225">
        <v>285</v>
      </c>
      <c r="H225">
        <v>14.25</v>
      </c>
      <c r="I225" s="5">
        <v>270.75</v>
      </c>
      <c r="J225" t="s">
        <v>25</v>
      </c>
      <c r="K225" t="s">
        <v>26</v>
      </c>
    </row>
    <row r="226" spans="1:11" x14ac:dyDescent="0.3">
      <c r="A226">
        <v>225</v>
      </c>
      <c r="B226" s="1">
        <v>45377</v>
      </c>
      <c r="C226" t="s">
        <v>252</v>
      </c>
      <c r="D226" t="s">
        <v>20</v>
      </c>
      <c r="E226">
        <v>2</v>
      </c>
      <c r="F226" s="6">
        <v>88</v>
      </c>
      <c r="G226">
        <v>176</v>
      </c>
      <c r="H226">
        <v>8.8000000000000007</v>
      </c>
      <c r="I226" s="5">
        <v>167.2</v>
      </c>
      <c r="J226" t="s">
        <v>13</v>
      </c>
      <c r="K226" t="s">
        <v>32</v>
      </c>
    </row>
    <row r="227" spans="1:11" x14ac:dyDescent="0.3">
      <c r="A227">
        <v>226</v>
      </c>
      <c r="B227" s="1">
        <v>45448</v>
      </c>
      <c r="C227" t="s">
        <v>253</v>
      </c>
      <c r="D227" t="s">
        <v>16</v>
      </c>
      <c r="E227">
        <v>3</v>
      </c>
      <c r="F227" s="6">
        <v>82.5</v>
      </c>
      <c r="G227">
        <v>247.5</v>
      </c>
      <c r="H227">
        <v>12.38</v>
      </c>
      <c r="I227" s="5">
        <v>235.12</v>
      </c>
      <c r="J227" t="s">
        <v>17</v>
      </c>
      <c r="K227" t="s">
        <v>18</v>
      </c>
    </row>
    <row r="228" spans="1:11" x14ac:dyDescent="0.3">
      <c r="A228">
        <v>227</v>
      </c>
      <c r="B228" s="1">
        <v>45561</v>
      </c>
      <c r="C228" t="s">
        <v>254</v>
      </c>
      <c r="D228" t="s">
        <v>28</v>
      </c>
      <c r="E228">
        <v>1</v>
      </c>
      <c r="F228" s="6">
        <v>29</v>
      </c>
      <c r="G228">
        <v>29</v>
      </c>
      <c r="H228">
        <v>1.45</v>
      </c>
      <c r="I228" s="5">
        <v>27.55</v>
      </c>
      <c r="J228" t="s">
        <v>21</v>
      </c>
      <c r="K228" t="s">
        <v>22</v>
      </c>
    </row>
    <row r="229" spans="1:11" x14ac:dyDescent="0.3">
      <c r="A229">
        <v>228</v>
      </c>
      <c r="B229" s="1">
        <v>45627</v>
      </c>
      <c r="C229" t="s">
        <v>255</v>
      </c>
      <c r="D229" t="s">
        <v>31</v>
      </c>
      <c r="E229">
        <v>4</v>
      </c>
      <c r="F229" s="6">
        <v>310</v>
      </c>
      <c r="G229">
        <v>1240</v>
      </c>
      <c r="H229">
        <v>62</v>
      </c>
      <c r="I229" s="5">
        <v>1178</v>
      </c>
      <c r="J229" t="s">
        <v>25</v>
      </c>
      <c r="K229" t="s">
        <v>14</v>
      </c>
    </row>
    <row r="230" spans="1:11" x14ac:dyDescent="0.3">
      <c r="A230">
        <v>229</v>
      </c>
      <c r="B230" s="1">
        <v>45330</v>
      </c>
      <c r="C230" t="s">
        <v>256</v>
      </c>
      <c r="D230" t="s">
        <v>34</v>
      </c>
      <c r="E230">
        <v>1</v>
      </c>
      <c r="F230" s="6">
        <v>310</v>
      </c>
      <c r="G230">
        <v>310</v>
      </c>
      <c r="H230">
        <v>15.5</v>
      </c>
      <c r="I230" s="5">
        <v>294.5</v>
      </c>
      <c r="J230" t="s">
        <v>13</v>
      </c>
      <c r="K230" t="s">
        <v>29</v>
      </c>
    </row>
    <row r="231" spans="1:11" x14ac:dyDescent="0.3">
      <c r="A231">
        <v>230</v>
      </c>
      <c r="B231" s="1">
        <v>45433</v>
      </c>
      <c r="C231" t="s">
        <v>257</v>
      </c>
      <c r="D231" t="s">
        <v>41</v>
      </c>
      <c r="E231">
        <v>2</v>
      </c>
      <c r="F231" s="6">
        <v>155</v>
      </c>
      <c r="G231">
        <v>310</v>
      </c>
      <c r="H231">
        <v>15.5</v>
      </c>
      <c r="I231" s="5">
        <v>294.5</v>
      </c>
      <c r="J231" t="s">
        <v>17</v>
      </c>
      <c r="K231" t="s">
        <v>26</v>
      </c>
    </row>
    <row r="232" spans="1:11" x14ac:dyDescent="0.3">
      <c r="A232">
        <v>231</v>
      </c>
      <c r="B232" s="1">
        <v>45505</v>
      </c>
      <c r="C232" t="s">
        <v>258</v>
      </c>
      <c r="D232" t="s">
        <v>12</v>
      </c>
      <c r="E232">
        <v>3</v>
      </c>
      <c r="F232" s="6">
        <v>115</v>
      </c>
      <c r="G232">
        <v>345</v>
      </c>
      <c r="H232">
        <v>17.25</v>
      </c>
      <c r="I232" s="5">
        <v>327.75</v>
      </c>
      <c r="J232" t="s">
        <v>21</v>
      </c>
      <c r="K232" t="s">
        <v>32</v>
      </c>
    </row>
    <row r="233" spans="1:11" x14ac:dyDescent="0.3">
      <c r="A233">
        <v>232</v>
      </c>
      <c r="B233" s="1">
        <v>45618</v>
      </c>
      <c r="C233" t="s">
        <v>259</v>
      </c>
      <c r="D233" t="s">
        <v>24</v>
      </c>
      <c r="E233">
        <v>2</v>
      </c>
      <c r="F233" s="6">
        <v>89.99</v>
      </c>
      <c r="G233">
        <v>179.98</v>
      </c>
      <c r="H233">
        <v>9</v>
      </c>
      <c r="I233" s="5">
        <v>170.98</v>
      </c>
      <c r="J233" t="s">
        <v>25</v>
      </c>
      <c r="K233" t="s">
        <v>18</v>
      </c>
    </row>
    <row r="234" spans="1:11" x14ac:dyDescent="0.3">
      <c r="A234">
        <v>233</v>
      </c>
      <c r="B234" s="1">
        <v>45406</v>
      </c>
      <c r="C234" t="s">
        <v>260</v>
      </c>
      <c r="D234" t="s">
        <v>20</v>
      </c>
      <c r="E234">
        <v>1</v>
      </c>
      <c r="F234" s="6">
        <v>77</v>
      </c>
      <c r="G234">
        <v>77</v>
      </c>
      <c r="H234">
        <v>3.85</v>
      </c>
      <c r="I234" s="5">
        <v>73.150000000000006</v>
      </c>
      <c r="J234" t="s">
        <v>13</v>
      </c>
      <c r="K234" t="s">
        <v>14</v>
      </c>
    </row>
    <row r="235" spans="1:11" x14ac:dyDescent="0.3">
      <c r="A235">
        <v>234</v>
      </c>
      <c r="B235" s="1">
        <v>45477</v>
      </c>
      <c r="C235" t="s">
        <v>261</v>
      </c>
      <c r="D235" t="s">
        <v>16</v>
      </c>
      <c r="E235">
        <v>4</v>
      </c>
      <c r="F235" s="6">
        <v>48.5</v>
      </c>
      <c r="G235">
        <v>194</v>
      </c>
      <c r="H235">
        <v>9.6999999999999993</v>
      </c>
      <c r="I235" s="5">
        <v>184.3</v>
      </c>
      <c r="J235" t="s">
        <v>17</v>
      </c>
      <c r="K235" t="s">
        <v>22</v>
      </c>
    </row>
    <row r="236" spans="1:11" x14ac:dyDescent="0.3">
      <c r="A236">
        <v>235</v>
      </c>
      <c r="B236" s="1">
        <v>45572</v>
      </c>
      <c r="C236" t="s">
        <v>262</v>
      </c>
      <c r="D236" t="s">
        <v>28</v>
      </c>
      <c r="E236">
        <v>5</v>
      </c>
      <c r="F236" s="6">
        <v>37</v>
      </c>
      <c r="G236">
        <v>185</v>
      </c>
      <c r="H236">
        <v>9.25</v>
      </c>
      <c r="I236" s="5">
        <v>175.75</v>
      </c>
      <c r="J236" t="s">
        <v>21</v>
      </c>
      <c r="K236" t="s">
        <v>29</v>
      </c>
    </row>
    <row r="237" spans="1:11" x14ac:dyDescent="0.3">
      <c r="A237">
        <v>236</v>
      </c>
      <c r="B237" s="1">
        <v>45314</v>
      </c>
      <c r="C237" t="s">
        <v>263</v>
      </c>
      <c r="D237" t="s">
        <v>31</v>
      </c>
      <c r="E237">
        <v>2</v>
      </c>
      <c r="F237" s="6">
        <v>305</v>
      </c>
      <c r="G237">
        <v>610</v>
      </c>
      <c r="H237">
        <v>30.5</v>
      </c>
      <c r="I237" s="5">
        <v>579.5</v>
      </c>
      <c r="J237" t="s">
        <v>25</v>
      </c>
      <c r="K237" t="s">
        <v>26</v>
      </c>
    </row>
    <row r="238" spans="1:11" x14ac:dyDescent="0.3">
      <c r="A238">
        <v>237</v>
      </c>
      <c r="B238" s="1">
        <v>45368</v>
      </c>
      <c r="C238" t="s">
        <v>264</v>
      </c>
      <c r="D238" t="s">
        <v>34</v>
      </c>
      <c r="E238">
        <v>3</v>
      </c>
      <c r="F238" s="6">
        <v>295</v>
      </c>
      <c r="G238">
        <v>885</v>
      </c>
      <c r="H238">
        <v>44.25</v>
      </c>
      <c r="I238" s="5">
        <v>840.75</v>
      </c>
      <c r="J238" t="s">
        <v>13</v>
      </c>
      <c r="K238" t="s">
        <v>32</v>
      </c>
    </row>
    <row r="239" spans="1:11" x14ac:dyDescent="0.3">
      <c r="A239">
        <v>238</v>
      </c>
      <c r="B239" s="1">
        <v>45451</v>
      </c>
      <c r="C239" t="s">
        <v>40</v>
      </c>
      <c r="D239" t="s">
        <v>41</v>
      </c>
      <c r="E239">
        <v>4</v>
      </c>
      <c r="F239" s="6">
        <v>160</v>
      </c>
      <c r="G239">
        <v>640</v>
      </c>
      <c r="H239">
        <v>32</v>
      </c>
      <c r="I239" s="5">
        <v>608</v>
      </c>
      <c r="J239" t="s">
        <v>17</v>
      </c>
      <c r="K239" t="s">
        <v>18</v>
      </c>
    </row>
    <row r="240" spans="1:11" x14ac:dyDescent="0.3">
      <c r="A240">
        <v>239</v>
      </c>
      <c r="B240" s="1">
        <v>45536</v>
      </c>
      <c r="C240" t="s">
        <v>38</v>
      </c>
      <c r="D240" t="s">
        <v>12</v>
      </c>
      <c r="E240">
        <v>1</v>
      </c>
      <c r="F240" s="6">
        <v>105</v>
      </c>
      <c r="G240">
        <v>105</v>
      </c>
      <c r="H240">
        <v>5.25</v>
      </c>
      <c r="I240" s="5">
        <v>99.75</v>
      </c>
      <c r="J240" t="s">
        <v>21</v>
      </c>
      <c r="K240" t="s">
        <v>14</v>
      </c>
    </row>
    <row r="241" spans="1:11" x14ac:dyDescent="0.3">
      <c r="A241">
        <v>240</v>
      </c>
      <c r="B241" s="1">
        <v>45647</v>
      </c>
      <c r="C241" t="s">
        <v>265</v>
      </c>
      <c r="D241" t="s">
        <v>24</v>
      </c>
      <c r="E241">
        <v>2</v>
      </c>
      <c r="F241" s="6">
        <v>96.5</v>
      </c>
      <c r="G241">
        <v>193</v>
      </c>
      <c r="H241">
        <v>9.65</v>
      </c>
      <c r="I241" s="5">
        <v>183.35</v>
      </c>
      <c r="J241" t="s">
        <v>25</v>
      </c>
      <c r="K241" t="s">
        <v>22</v>
      </c>
    </row>
    <row r="242" spans="1:11" x14ac:dyDescent="0.3">
      <c r="A242">
        <v>241</v>
      </c>
      <c r="B242" s="1">
        <v>45334</v>
      </c>
      <c r="C242" t="s">
        <v>266</v>
      </c>
      <c r="D242" t="s">
        <v>20</v>
      </c>
      <c r="E242">
        <v>3</v>
      </c>
      <c r="F242" s="6">
        <v>75.5</v>
      </c>
      <c r="G242">
        <v>226.5</v>
      </c>
      <c r="H242">
        <v>11.33</v>
      </c>
      <c r="I242" s="5">
        <v>215.17</v>
      </c>
      <c r="J242" t="s">
        <v>13</v>
      </c>
      <c r="K242" t="s">
        <v>29</v>
      </c>
    </row>
    <row r="243" spans="1:11" x14ac:dyDescent="0.3">
      <c r="A243">
        <v>242</v>
      </c>
      <c r="B243" s="1">
        <v>45422</v>
      </c>
      <c r="C243" t="s">
        <v>267</v>
      </c>
      <c r="D243" t="s">
        <v>16</v>
      </c>
      <c r="E243">
        <v>1</v>
      </c>
      <c r="F243" s="6">
        <v>102</v>
      </c>
      <c r="G243">
        <v>102</v>
      </c>
      <c r="H243">
        <v>5.0999999999999996</v>
      </c>
      <c r="I243" s="5">
        <v>96.9</v>
      </c>
      <c r="J243" t="s">
        <v>17</v>
      </c>
      <c r="K243" t="s">
        <v>26</v>
      </c>
    </row>
    <row r="244" spans="1:11" x14ac:dyDescent="0.3">
      <c r="A244">
        <v>243</v>
      </c>
      <c r="B244" s="1">
        <v>45513</v>
      </c>
      <c r="C244" t="s">
        <v>268</v>
      </c>
      <c r="D244" t="s">
        <v>28</v>
      </c>
      <c r="E244">
        <v>4</v>
      </c>
      <c r="F244" s="6">
        <v>34.5</v>
      </c>
      <c r="G244">
        <v>138</v>
      </c>
      <c r="H244">
        <v>6.9</v>
      </c>
      <c r="I244" s="5">
        <v>131.1</v>
      </c>
      <c r="J244" t="s">
        <v>21</v>
      </c>
      <c r="K244" t="s">
        <v>32</v>
      </c>
    </row>
    <row r="245" spans="1:11" x14ac:dyDescent="0.3">
      <c r="A245">
        <v>244</v>
      </c>
      <c r="B245" s="1">
        <v>45613</v>
      </c>
      <c r="C245" t="s">
        <v>269</v>
      </c>
      <c r="D245" t="s">
        <v>31</v>
      </c>
      <c r="E245">
        <v>5</v>
      </c>
      <c r="F245" s="6">
        <v>298</v>
      </c>
      <c r="G245">
        <v>1490</v>
      </c>
      <c r="H245">
        <v>74.5</v>
      </c>
      <c r="I245" s="5">
        <v>1415.5</v>
      </c>
      <c r="J245" t="s">
        <v>25</v>
      </c>
      <c r="K245" t="s">
        <v>18</v>
      </c>
    </row>
    <row r="246" spans="1:11" x14ac:dyDescent="0.3">
      <c r="A246">
        <v>245</v>
      </c>
      <c r="B246" s="1">
        <v>45394</v>
      </c>
      <c r="C246" t="s">
        <v>270</v>
      </c>
      <c r="D246" t="s">
        <v>34</v>
      </c>
      <c r="E246">
        <v>2</v>
      </c>
      <c r="F246" s="6">
        <v>445</v>
      </c>
      <c r="G246">
        <v>890</v>
      </c>
      <c r="H246">
        <v>44.5</v>
      </c>
      <c r="I246" s="5">
        <v>845.5</v>
      </c>
      <c r="J246" t="s">
        <v>13</v>
      </c>
      <c r="K246" t="s">
        <v>14</v>
      </c>
    </row>
    <row r="247" spans="1:11" x14ac:dyDescent="0.3">
      <c r="A247">
        <v>246</v>
      </c>
      <c r="B247" s="1">
        <v>45483</v>
      </c>
      <c r="C247" t="s">
        <v>271</v>
      </c>
      <c r="D247" t="s">
        <v>41</v>
      </c>
      <c r="E247">
        <v>1</v>
      </c>
      <c r="F247" s="6">
        <v>205</v>
      </c>
      <c r="G247">
        <v>205</v>
      </c>
      <c r="H247">
        <v>10.25</v>
      </c>
      <c r="I247" s="5">
        <v>194.75</v>
      </c>
      <c r="J247" t="s">
        <v>17</v>
      </c>
      <c r="K247" t="s">
        <v>22</v>
      </c>
    </row>
    <row r="248" spans="1:11" x14ac:dyDescent="0.3">
      <c r="A248">
        <v>247</v>
      </c>
      <c r="B248" s="1">
        <v>45591</v>
      </c>
      <c r="C248" t="s">
        <v>272</v>
      </c>
      <c r="D248" t="s">
        <v>12</v>
      </c>
      <c r="E248">
        <v>3</v>
      </c>
      <c r="F248" s="6">
        <v>132</v>
      </c>
      <c r="G248">
        <v>396</v>
      </c>
      <c r="H248">
        <v>19.8</v>
      </c>
      <c r="I248" s="5">
        <v>376.2</v>
      </c>
      <c r="J248" t="s">
        <v>21</v>
      </c>
      <c r="K248" t="s">
        <v>29</v>
      </c>
    </row>
    <row r="249" spans="1:11" x14ac:dyDescent="0.3">
      <c r="A249">
        <v>248</v>
      </c>
      <c r="B249" s="1">
        <v>45300</v>
      </c>
      <c r="C249" t="s">
        <v>273</v>
      </c>
      <c r="D249" t="s">
        <v>24</v>
      </c>
      <c r="E249">
        <v>4</v>
      </c>
      <c r="F249" s="6">
        <v>64.5</v>
      </c>
      <c r="G249">
        <v>258</v>
      </c>
      <c r="H249">
        <v>12.9</v>
      </c>
      <c r="I249" s="5">
        <v>245.1</v>
      </c>
      <c r="J249" t="s">
        <v>25</v>
      </c>
      <c r="K249" t="s">
        <v>26</v>
      </c>
    </row>
    <row r="250" spans="1:11" x14ac:dyDescent="0.3">
      <c r="A250">
        <v>249</v>
      </c>
      <c r="B250" s="1">
        <v>45364</v>
      </c>
      <c r="C250" t="s">
        <v>274</v>
      </c>
      <c r="D250" t="s">
        <v>20</v>
      </c>
      <c r="E250">
        <v>2</v>
      </c>
      <c r="F250" s="6">
        <v>91.5</v>
      </c>
      <c r="G250">
        <v>183</v>
      </c>
      <c r="H250">
        <v>9.15</v>
      </c>
      <c r="I250" s="5">
        <v>173.85</v>
      </c>
      <c r="J250" t="s">
        <v>13</v>
      </c>
      <c r="K250" t="s">
        <v>32</v>
      </c>
    </row>
    <row r="251" spans="1:11" x14ac:dyDescent="0.3">
      <c r="A251">
        <v>250</v>
      </c>
      <c r="B251" s="1">
        <v>45460</v>
      </c>
      <c r="C251" t="s">
        <v>275</v>
      </c>
      <c r="D251" t="s">
        <v>16</v>
      </c>
      <c r="E251">
        <v>1</v>
      </c>
      <c r="F251" s="6">
        <v>99</v>
      </c>
      <c r="G251">
        <v>99</v>
      </c>
      <c r="H251">
        <v>4.95</v>
      </c>
      <c r="I251" s="5">
        <v>94.05</v>
      </c>
      <c r="J251" t="s">
        <v>17</v>
      </c>
      <c r="K251" t="s">
        <v>14</v>
      </c>
    </row>
    <row r="252" spans="1:11" x14ac:dyDescent="0.3">
      <c r="A252">
        <v>251</v>
      </c>
      <c r="B252" s="1">
        <v>45538</v>
      </c>
      <c r="C252" t="s">
        <v>276</v>
      </c>
      <c r="D252" t="s">
        <v>28</v>
      </c>
      <c r="E252">
        <v>2</v>
      </c>
      <c r="F252" s="6">
        <v>33.5</v>
      </c>
      <c r="G252">
        <v>67</v>
      </c>
      <c r="H252">
        <v>3.35</v>
      </c>
      <c r="I252" s="5">
        <v>63.65</v>
      </c>
      <c r="J252" t="s">
        <v>21</v>
      </c>
      <c r="K252" t="s">
        <v>22</v>
      </c>
    </row>
    <row r="253" spans="1:11" x14ac:dyDescent="0.3">
      <c r="A253">
        <v>252</v>
      </c>
      <c r="B253" s="1">
        <v>45640</v>
      </c>
      <c r="C253" t="s">
        <v>277</v>
      </c>
      <c r="D253" t="s">
        <v>31</v>
      </c>
      <c r="E253">
        <v>3</v>
      </c>
      <c r="F253" s="6">
        <v>310</v>
      </c>
      <c r="G253">
        <v>930</v>
      </c>
      <c r="H253">
        <v>46.5</v>
      </c>
      <c r="I253" s="5">
        <v>883.5</v>
      </c>
      <c r="J253" t="s">
        <v>25</v>
      </c>
      <c r="K253" t="s">
        <v>29</v>
      </c>
    </row>
    <row r="254" spans="1:11" x14ac:dyDescent="0.3">
      <c r="A254">
        <v>253</v>
      </c>
      <c r="B254" s="1">
        <v>45325</v>
      </c>
      <c r="C254" t="s">
        <v>278</v>
      </c>
      <c r="D254" t="s">
        <v>34</v>
      </c>
      <c r="E254">
        <v>4</v>
      </c>
      <c r="F254" s="6">
        <v>285</v>
      </c>
      <c r="G254">
        <v>1140</v>
      </c>
      <c r="H254">
        <v>57</v>
      </c>
      <c r="I254" s="5">
        <v>1083</v>
      </c>
      <c r="J254" t="s">
        <v>13</v>
      </c>
      <c r="K254" t="s">
        <v>26</v>
      </c>
    </row>
    <row r="255" spans="1:11" x14ac:dyDescent="0.3">
      <c r="A255">
        <v>254</v>
      </c>
      <c r="B255" s="1">
        <v>45432</v>
      </c>
      <c r="C255" t="s">
        <v>279</v>
      </c>
      <c r="D255" t="s">
        <v>41</v>
      </c>
      <c r="E255">
        <v>1</v>
      </c>
      <c r="F255" s="6">
        <v>245</v>
      </c>
      <c r="G255">
        <v>245</v>
      </c>
      <c r="H255">
        <v>12.25</v>
      </c>
      <c r="I255" s="5">
        <v>232.75</v>
      </c>
      <c r="J255" t="s">
        <v>17</v>
      </c>
      <c r="K255" t="s">
        <v>32</v>
      </c>
    </row>
    <row r="256" spans="1:11" x14ac:dyDescent="0.3">
      <c r="A256">
        <v>255</v>
      </c>
      <c r="B256" s="1">
        <v>45509</v>
      </c>
      <c r="C256" t="s">
        <v>280</v>
      </c>
      <c r="D256" t="s">
        <v>12</v>
      </c>
      <c r="E256">
        <v>5</v>
      </c>
      <c r="F256" s="6">
        <v>99</v>
      </c>
      <c r="G256">
        <v>495</v>
      </c>
      <c r="H256">
        <v>24.75</v>
      </c>
      <c r="I256" s="5">
        <v>470.25</v>
      </c>
      <c r="J256" t="s">
        <v>21</v>
      </c>
      <c r="K256" t="s">
        <v>18</v>
      </c>
    </row>
    <row r="257" spans="1:11" x14ac:dyDescent="0.3">
      <c r="A257">
        <v>256</v>
      </c>
      <c r="B257" s="1">
        <v>45608</v>
      </c>
      <c r="C257" t="s">
        <v>281</v>
      </c>
      <c r="D257" t="s">
        <v>24</v>
      </c>
      <c r="E257">
        <v>3</v>
      </c>
      <c r="F257" s="6">
        <v>83.5</v>
      </c>
      <c r="G257">
        <v>250.5</v>
      </c>
      <c r="H257">
        <v>12.53</v>
      </c>
      <c r="I257" s="5">
        <v>237.97</v>
      </c>
      <c r="J257" t="s">
        <v>25</v>
      </c>
      <c r="K257" t="s">
        <v>14</v>
      </c>
    </row>
    <row r="258" spans="1:11" x14ac:dyDescent="0.3">
      <c r="A258">
        <v>257</v>
      </c>
      <c r="B258" s="1">
        <v>45387</v>
      </c>
      <c r="C258" t="s">
        <v>282</v>
      </c>
      <c r="D258" t="s">
        <v>20</v>
      </c>
      <c r="E258">
        <v>1</v>
      </c>
      <c r="F258" s="6">
        <v>120</v>
      </c>
      <c r="G258">
        <v>120</v>
      </c>
      <c r="H258">
        <v>6</v>
      </c>
      <c r="I258" s="5">
        <v>114</v>
      </c>
      <c r="J258" t="s">
        <v>13</v>
      </c>
      <c r="K258" t="s">
        <v>22</v>
      </c>
    </row>
    <row r="259" spans="1:11" x14ac:dyDescent="0.3">
      <c r="A259">
        <v>258</v>
      </c>
      <c r="B259" s="1">
        <v>45496</v>
      </c>
      <c r="C259" t="s">
        <v>283</v>
      </c>
      <c r="D259" t="s">
        <v>16</v>
      </c>
      <c r="E259">
        <v>2</v>
      </c>
      <c r="F259" s="6">
        <v>92.5</v>
      </c>
      <c r="G259">
        <v>185</v>
      </c>
      <c r="H259">
        <v>9.25</v>
      </c>
      <c r="I259" s="5">
        <v>175.75</v>
      </c>
      <c r="J259" t="s">
        <v>17</v>
      </c>
      <c r="K259" t="s">
        <v>29</v>
      </c>
    </row>
    <row r="260" spans="1:11" x14ac:dyDescent="0.3">
      <c r="A260">
        <v>259</v>
      </c>
      <c r="B260" s="1">
        <v>45573</v>
      </c>
      <c r="C260" t="s">
        <v>284</v>
      </c>
      <c r="D260" t="s">
        <v>28</v>
      </c>
      <c r="E260">
        <v>4</v>
      </c>
      <c r="F260" s="6">
        <v>35</v>
      </c>
      <c r="G260">
        <v>140</v>
      </c>
      <c r="H260">
        <v>7</v>
      </c>
      <c r="I260" s="5">
        <v>133</v>
      </c>
      <c r="J260" t="s">
        <v>25</v>
      </c>
      <c r="K260" t="s">
        <v>26</v>
      </c>
    </row>
    <row r="261" spans="1:11" x14ac:dyDescent="0.3">
      <c r="A261">
        <v>260</v>
      </c>
      <c r="B261" s="1">
        <v>45308</v>
      </c>
      <c r="C261" t="s">
        <v>285</v>
      </c>
      <c r="D261" t="s">
        <v>31</v>
      </c>
      <c r="E261">
        <v>1</v>
      </c>
      <c r="F261" s="6">
        <v>330</v>
      </c>
      <c r="G261">
        <v>330</v>
      </c>
      <c r="H261">
        <v>16.5</v>
      </c>
      <c r="I261" s="5">
        <v>313.5</v>
      </c>
      <c r="J261" t="s">
        <v>21</v>
      </c>
      <c r="K261" t="s">
        <v>32</v>
      </c>
    </row>
    <row r="262" spans="1:11" x14ac:dyDescent="0.3">
      <c r="A262">
        <v>261</v>
      </c>
      <c r="B262" s="1">
        <v>45375</v>
      </c>
      <c r="C262" t="s">
        <v>286</v>
      </c>
      <c r="D262" t="s">
        <v>34</v>
      </c>
      <c r="E262">
        <v>3</v>
      </c>
      <c r="F262" s="6">
        <v>315</v>
      </c>
      <c r="G262">
        <v>945</v>
      </c>
      <c r="H262">
        <v>47.25</v>
      </c>
      <c r="I262" s="5">
        <v>897.75</v>
      </c>
      <c r="J262" t="s">
        <v>13</v>
      </c>
      <c r="K262" t="s">
        <v>18</v>
      </c>
    </row>
    <row r="263" spans="1:11" x14ac:dyDescent="0.3">
      <c r="A263">
        <v>262</v>
      </c>
      <c r="B263" s="1">
        <v>45469</v>
      </c>
      <c r="C263" t="s">
        <v>287</v>
      </c>
      <c r="D263" t="s">
        <v>41</v>
      </c>
      <c r="E263">
        <v>5</v>
      </c>
      <c r="F263" s="6">
        <v>165</v>
      </c>
      <c r="G263">
        <v>825</v>
      </c>
      <c r="H263">
        <v>41.25</v>
      </c>
      <c r="I263" s="5">
        <v>783.75</v>
      </c>
      <c r="J263" t="s">
        <v>17</v>
      </c>
      <c r="K263" t="s">
        <v>14</v>
      </c>
    </row>
    <row r="264" spans="1:11" x14ac:dyDescent="0.3">
      <c r="A264">
        <v>263</v>
      </c>
      <c r="B264" s="1">
        <v>45540</v>
      </c>
      <c r="C264" t="s">
        <v>288</v>
      </c>
      <c r="D264" t="s">
        <v>12</v>
      </c>
      <c r="E264">
        <v>2</v>
      </c>
      <c r="F264" s="6">
        <v>110</v>
      </c>
      <c r="G264">
        <v>220</v>
      </c>
      <c r="H264">
        <v>11</v>
      </c>
      <c r="I264" s="5">
        <v>209</v>
      </c>
      <c r="J264" t="s">
        <v>25</v>
      </c>
      <c r="K264" t="s">
        <v>22</v>
      </c>
    </row>
    <row r="265" spans="1:11" x14ac:dyDescent="0.3">
      <c r="A265">
        <v>264</v>
      </c>
      <c r="B265" s="1">
        <v>45634</v>
      </c>
      <c r="C265" t="s">
        <v>289</v>
      </c>
      <c r="D265" t="s">
        <v>24</v>
      </c>
      <c r="E265">
        <v>4</v>
      </c>
      <c r="F265" s="6">
        <v>77.5</v>
      </c>
      <c r="G265">
        <v>310</v>
      </c>
      <c r="H265">
        <v>15.5</v>
      </c>
      <c r="I265" s="5">
        <v>294.5</v>
      </c>
      <c r="J265" t="s">
        <v>21</v>
      </c>
      <c r="K265" t="s">
        <v>29</v>
      </c>
    </row>
    <row r="266" spans="1:11" x14ac:dyDescent="0.3">
      <c r="A266">
        <v>265</v>
      </c>
      <c r="B266" s="1">
        <v>45343</v>
      </c>
      <c r="C266" t="s">
        <v>290</v>
      </c>
      <c r="D266" t="s">
        <v>20</v>
      </c>
      <c r="E266">
        <v>1</v>
      </c>
      <c r="F266" s="6">
        <v>85.5</v>
      </c>
      <c r="G266">
        <v>85.5</v>
      </c>
      <c r="H266">
        <v>4.28</v>
      </c>
      <c r="I266" s="5">
        <v>81.22</v>
      </c>
      <c r="J266" t="s">
        <v>13</v>
      </c>
      <c r="K266" t="s">
        <v>26</v>
      </c>
    </row>
    <row r="267" spans="1:11" x14ac:dyDescent="0.3">
      <c r="A267">
        <v>266</v>
      </c>
      <c r="B267" s="1">
        <v>45429</v>
      </c>
      <c r="C267" t="s">
        <v>291</v>
      </c>
      <c r="D267" t="s">
        <v>16</v>
      </c>
      <c r="E267">
        <v>5</v>
      </c>
      <c r="F267" s="6">
        <v>52</v>
      </c>
      <c r="G267">
        <v>260</v>
      </c>
      <c r="H267">
        <v>13</v>
      </c>
      <c r="I267" s="5">
        <v>247</v>
      </c>
      <c r="J267" t="s">
        <v>17</v>
      </c>
      <c r="K267" t="s">
        <v>32</v>
      </c>
    </row>
    <row r="268" spans="1:11" x14ac:dyDescent="0.3">
      <c r="A268">
        <v>267</v>
      </c>
      <c r="B268" s="1">
        <v>45526</v>
      </c>
      <c r="C268" t="s">
        <v>292</v>
      </c>
      <c r="D268" t="s">
        <v>28</v>
      </c>
      <c r="E268">
        <v>2</v>
      </c>
      <c r="F268" s="6">
        <v>31</v>
      </c>
      <c r="G268">
        <v>62</v>
      </c>
      <c r="H268">
        <v>3.1</v>
      </c>
      <c r="I268" s="5">
        <v>58.9</v>
      </c>
      <c r="J268" t="s">
        <v>21</v>
      </c>
      <c r="K268" t="s">
        <v>18</v>
      </c>
    </row>
    <row r="269" spans="1:11" x14ac:dyDescent="0.3">
      <c r="A269">
        <v>268</v>
      </c>
      <c r="B269" s="1">
        <v>45602</v>
      </c>
      <c r="C269" t="s">
        <v>293</v>
      </c>
      <c r="D269" t="s">
        <v>31</v>
      </c>
      <c r="E269">
        <v>3</v>
      </c>
      <c r="F269" s="6">
        <v>305</v>
      </c>
      <c r="G269">
        <v>915</v>
      </c>
      <c r="H269">
        <v>45.75</v>
      </c>
      <c r="I269" s="5">
        <v>869.25</v>
      </c>
      <c r="J269" t="s">
        <v>25</v>
      </c>
      <c r="K269" t="s">
        <v>14</v>
      </c>
    </row>
    <row r="270" spans="1:11" x14ac:dyDescent="0.3">
      <c r="A270">
        <v>269</v>
      </c>
      <c r="B270" s="1">
        <v>45386</v>
      </c>
      <c r="C270" t="s">
        <v>294</v>
      </c>
      <c r="D270" t="s">
        <v>34</v>
      </c>
      <c r="E270">
        <v>2</v>
      </c>
      <c r="F270" s="6">
        <v>310</v>
      </c>
      <c r="G270">
        <v>620</v>
      </c>
      <c r="H270">
        <v>31</v>
      </c>
      <c r="I270" s="5">
        <v>589</v>
      </c>
      <c r="J270" t="s">
        <v>13</v>
      </c>
      <c r="K270" t="s">
        <v>22</v>
      </c>
    </row>
    <row r="271" spans="1:11" x14ac:dyDescent="0.3">
      <c r="A271">
        <v>270</v>
      </c>
      <c r="B271" s="1">
        <v>45504</v>
      </c>
      <c r="C271" t="s">
        <v>295</v>
      </c>
      <c r="D271" t="s">
        <v>41</v>
      </c>
      <c r="E271">
        <v>4</v>
      </c>
      <c r="F271" s="6">
        <v>230</v>
      </c>
      <c r="G271">
        <v>920</v>
      </c>
      <c r="H271">
        <v>46</v>
      </c>
      <c r="I271" s="5">
        <v>874</v>
      </c>
      <c r="J271" t="s">
        <v>17</v>
      </c>
      <c r="K271" t="s">
        <v>29</v>
      </c>
    </row>
    <row r="272" spans="1:11" x14ac:dyDescent="0.3">
      <c r="A272">
        <v>271</v>
      </c>
      <c r="B272" s="1">
        <v>45576</v>
      </c>
      <c r="C272" t="s">
        <v>296</v>
      </c>
      <c r="D272" t="s">
        <v>12</v>
      </c>
      <c r="E272">
        <v>1</v>
      </c>
      <c r="F272" s="6">
        <v>105</v>
      </c>
      <c r="G272">
        <v>105</v>
      </c>
      <c r="H272">
        <v>5.25</v>
      </c>
      <c r="I272" s="5">
        <v>99.75</v>
      </c>
      <c r="J272" t="s">
        <v>21</v>
      </c>
      <c r="K272" t="s">
        <v>26</v>
      </c>
    </row>
    <row r="273" spans="1:11" x14ac:dyDescent="0.3">
      <c r="A273">
        <v>272</v>
      </c>
      <c r="B273" s="1">
        <v>45318</v>
      </c>
      <c r="C273" t="s">
        <v>297</v>
      </c>
      <c r="D273" t="s">
        <v>24</v>
      </c>
      <c r="E273">
        <v>3</v>
      </c>
      <c r="F273" s="6">
        <v>92</v>
      </c>
      <c r="G273">
        <v>276</v>
      </c>
      <c r="H273">
        <v>13.8</v>
      </c>
      <c r="I273" s="5">
        <v>262.2</v>
      </c>
      <c r="J273" t="s">
        <v>25</v>
      </c>
      <c r="K273" t="s">
        <v>32</v>
      </c>
    </row>
    <row r="274" spans="1:11" x14ac:dyDescent="0.3">
      <c r="A274">
        <v>273</v>
      </c>
      <c r="B274" s="1">
        <v>45369</v>
      </c>
      <c r="C274" t="s">
        <v>298</v>
      </c>
      <c r="D274" t="s">
        <v>20</v>
      </c>
      <c r="E274">
        <v>2</v>
      </c>
      <c r="F274" s="6">
        <v>69</v>
      </c>
      <c r="G274">
        <v>138</v>
      </c>
      <c r="H274">
        <v>6.9</v>
      </c>
      <c r="I274" s="5">
        <v>131.1</v>
      </c>
      <c r="J274" t="s">
        <v>13</v>
      </c>
      <c r="K274" t="s">
        <v>18</v>
      </c>
    </row>
    <row r="275" spans="1:11" x14ac:dyDescent="0.3">
      <c r="A275">
        <v>274</v>
      </c>
      <c r="B275" s="1">
        <v>45467</v>
      </c>
      <c r="C275" t="s">
        <v>299</v>
      </c>
      <c r="D275" t="s">
        <v>16</v>
      </c>
      <c r="E275">
        <v>5</v>
      </c>
      <c r="F275" s="6">
        <v>48</v>
      </c>
      <c r="G275">
        <v>240</v>
      </c>
      <c r="H275">
        <v>12</v>
      </c>
      <c r="I275" s="5">
        <v>228</v>
      </c>
      <c r="J275" t="s">
        <v>17</v>
      </c>
      <c r="K275" t="s">
        <v>14</v>
      </c>
    </row>
    <row r="276" spans="1:11" x14ac:dyDescent="0.3">
      <c r="A276">
        <v>275</v>
      </c>
      <c r="B276" s="1">
        <v>45556</v>
      </c>
      <c r="C276" t="s">
        <v>300</v>
      </c>
      <c r="D276" t="s">
        <v>28</v>
      </c>
      <c r="E276">
        <v>1</v>
      </c>
      <c r="F276" s="6">
        <v>32</v>
      </c>
      <c r="G276">
        <v>32</v>
      </c>
      <c r="H276">
        <v>1.6</v>
      </c>
      <c r="I276" s="5">
        <v>30.4</v>
      </c>
      <c r="J276" t="s">
        <v>21</v>
      </c>
      <c r="K276" t="s">
        <v>22</v>
      </c>
    </row>
    <row r="277" spans="1:11" x14ac:dyDescent="0.3">
      <c r="A277">
        <v>276</v>
      </c>
      <c r="B277" s="1">
        <v>45656</v>
      </c>
      <c r="C277" t="s">
        <v>301</v>
      </c>
      <c r="D277" t="s">
        <v>31</v>
      </c>
      <c r="E277">
        <v>2</v>
      </c>
      <c r="F277" s="6">
        <v>400</v>
      </c>
      <c r="G277">
        <v>800</v>
      </c>
      <c r="H277">
        <v>40</v>
      </c>
      <c r="I277" s="5">
        <v>760</v>
      </c>
      <c r="J277" t="s">
        <v>25</v>
      </c>
      <c r="K277" t="s">
        <v>29</v>
      </c>
    </row>
    <row r="278" spans="1:11" x14ac:dyDescent="0.3">
      <c r="A278">
        <v>277</v>
      </c>
      <c r="B278" s="1">
        <v>45350</v>
      </c>
      <c r="C278" t="s">
        <v>302</v>
      </c>
      <c r="D278" t="s">
        <v>34</v>
      </c>
      <c r="E278">
        <v>1</v>
      </c>
      <c r="F278" s="6">
        <v>480</v>
      </c>
      <c r="G278">
        <v>480</v>
      </c>
      <c r="H278">
        <v>24</v>
      </c>
      <c r="I278" s="5">
        <v>456</v>
      </c>
      <c r="J278" t="s">
        <v>13</v>
      </c>
      <c r="K278" t="s">
        <v>26</v>
      </c>
    </row>
    <row r="279" spans="1:11" x14ac:dyDescent="0.3">
      <c r="A279">
        <v>278</v>
      </c>
      <c r="B279" s="1">
        <v>45441</v>
      </c>
      <c r="C279" t="s">
        <v>93</v>
      </c>
      <c r="D279" t="s">
        <v>41</v>
      </c>
      <c r="E279">
        <v>5</v>
      </c>
      <c r="F279" s="6">
        <v>180</v>
      </c>
      <c r="G279">
        <v>900</v>
      </c>
      <c r="H279">
        <v>45</v>
      </c>
      <c r="I279" s="5">
        <v>855</v>
      </c>
      <c r="J279" t="s">
        <v>17</v>
      </c>
      <c r="K279" t="s">
        <v>32</v>
      </c>
    </row>
    <row r="280" spans="1:11" x14ac:dyDescent="0.3">
      <c r="A280">
        <v>279</v>
      </c>
      <c r="B280" s="1">
        <v>45529</v>
      </c>
      <c r="C280" t="s">
        <v>303</v>
      </c>
      <c r="D280" t="s">
        <v>12</v>
      </c>
      <c r="E280">
        <v>3</v>
      </c>
      <c r="F280" s="6">
        <v>118</v>
      </c>
      <c r="G280">
        <v>354</v>
      </c>
      <c r="H280">
        <v>17.7</v>
      </c>
      <c r="I280" s="5">
        <v>336.3</v>
      </c>
      <c r="J280" t="s">
        <v>21</v>
      </c>
      <c r="K280" t="s">
        <v>18</v>
      </c>
    </row>
    <row r="281" spans="1:11" x14ac:dyDescent="0.3">
      <c r="A281">
        <v>280</v>
      </c>
      <c r="B281" s="1">
        <v>45598</v>
      </c>
      <c r="C281" t="s">
        <v>304</v>
      </c>
      <c r="D281" t="s">
        <v>24</v>
      </c>
      <c r="E281">
        <v>2</v>
      </c>
      <c r="F281" s="6">
        <v>89.5</v>
      </c>
      <c r="G281">
        <v>179</v>
      </c>
      <c r="H281">
        <v>8.9499999999999993</v>
      </c>
      <c r="I281" s="5">
        <v>170.05</v>
      </c>
      <c r="J281" t="s">
        <v>25</v>
      </c>
      <c r="K281" t="s">
        <v>14</v>
      </c>
    </row>
    <row r="282" spans="1:11" x14ac:dyDescent="0.3">
      <c r="A282">
        <v>281</v>
      </c>
      <c r="B282" s="1">
        <v>45391</v>
      </c>
      <c r="C282" t="s">
        <v>64</v>
      </c>
      <c r="D282" t="s">
        <v>20</v>
      </c>
      <c r="E282">
        <v>4</v>
      </c>
      <c r="F282" s="6">
        <v>60</v>
      </c>
      <c r="G282">
        <v>240</v>
      </c>
      <c r="H282">
        <v>12</v>
      </c>
      <c r="I282" s="5">
        <v>228</v>
      </c>
      <c r="J282" t="s">
        <v>13</v>
      </c>
      <c r="K282" t="s">
        <v>22</v>
      </c>
    </row>
    <row r="283" spans="1:11" x14ac:dyDescent="0.3">
      <c r="A283">
        <v>282</v>
      </c>
      <c r="B283" s="1">
        <v>45481</v>
      </c>
      <c r="C283" t="s">
        <v>305</v>
      </c>
      <c r="D283" t="s">
        <v>16</v>
      </c>
      <c r="E283">
        <v>1</v>
      </c>
      <c r="F283" s="6">
        <v>108</v>
      </c>
      <c r="G283">
        <v>108</v>
      </c>
      <c r="H283">
        <v>5.4</v>
      </c>
      <c r="I283" s="5">
        <v>102.6</v>
      </c>
      <c r="J283" t="s">
        <v>17</v>
      </c>
      <c r="K283" t="s">
        <v>29</v>
      </c>
    </row>
    <row r="284" spans="1:11" x14ac:dyDescent="0.3">
      <c r="A284">
        <v>283</v>
      </c>
      <c r="B284" s="1">
        <v>45587</v>
      </c>
      <c r="C284" t="s">
        <v>306</v>
      </c>
      <c r="D284" t="s">
        <v>28</v>
      </c>
      <c r="E284">
        <v>2</v>
      </c>
      <c r="F284" s="6">
        <v>35.5</v>
      </c>
      <c r="G284">
        <v>71</v>
      </c>
      <c r="H284">
        <v>3.55</v>
      </c>
      <c r="I284" s="5">
        <v>67.45</v>
      </c>
      <c r="J284" t="s">
        <v>21</v>
      </c>
      <c r="K284" t="s">
        <v>26</v>
      </c>
    </row>
    <row r="285" spans="1:11" x14ac:dyDescent="0.3">
      <c r="A285">
        <v>284</v>
      </c>
      <c r="B285" s="1">
        <v>45304</v>
      </c>
      <c r="C285" t="s">
        <v>307</v>
      </c>
      <c r="D285" t="s">
        <v>31</v>
      </c>
      <c r="E285">
        <v>3</v>
      </c>
      <c r="F285" s="6">
        <v>350</v>
      </c>
      <c r="G285">
        <v>1050</v>
      </c>
      <c r="H285">
        <v>52.5</v>
      </c>
      <c r="I285" s="5">
        <v>997.5</v>
      </c>
      <c r="J285" t="s">
        <v>25</v>
      </c>
      <c r="K285" t="s">
        <v>32</v>
      </c>
    </row>
    <row r="286" spans="1:11" x14ac:dyDescent="0.3">
      <c r="A286">
        <v>285</v>
      </c>
      <c r="B286" s="1">
        <v>45365</v>
      </c>
      <c r="C286" t="s">
        <v>308</v>
      </c>
      <c r="D286" t="s">
        <v>34</v>
      </c>
      <c r="E286">
        <v>4</v>
      </c>
      <c r="F286" s="6">
        <v>320</v>
      </c>
      <c r="G286">
        <v>1280</v>
      </c>
      <c r="H286">
        <v>64</v>
      </c>
      <c r="I286" s="5">
        <v>1216</v>
      </c>
      <c r="J286" t="s">
        <v>13</v>
      </c>
      <c r="K286" t="s">
        <v>18</v>
      </c>
    </row>
    <row r="287" spans="1:11" x14ac:dyDescent="0.3">
      <c r="A287">
        <v>286</v>
      </c>
      <c r="B287" s="1">
        <v>45449</v>
      </c>
      <c r="C287" t="s">
        <v>309</v>
      </c>
      <c r="D287" t="s">
        <v>41</v>
      </c>
      <c r="E287">
        <v>2</v>
      </c>
      <c r="F287" s="6">
        <v>165</v>
      </c>
      <c r="G287">
        <v>330</v>
      </c>
      <c r="H287">
        <v>16.5</v>
      </c>
      <c r="I287" s="5">
        <v>313.5</v>
      </c>
      <c r="J287" t="s">
        <v>17</v>
      </c>
      <c r="K287" t="s">
        <v>14</v>
      </c>
    </row>
    <row r="288" spans="1:11" x14ac:dyDescent="0.3">
      <c r="A288">
        <v>287</v>
      </c>
      <c r="B288" s="1">
        <v>45554</v>
      </c>
      <c r="C288" t="s">
        <v>310</v>
      </c>
      <c r="D288" t="s">
        <v>12</v>
      </c>
      <c r="E288">
        <v>1</v>
      </c>
      <c r="F288" s="6">
        <v>120</v>
      </c>
      <c r="G288">
        <v>120</v>
      </c>
      <c r="H288">
        <v>6</v>
      </c>
      <c r="I288" s="5">
        <v>114</v>
      </c>
      <c r="J288" t="s">
        <v>21</v>
      </c>
      <c r="K288" t="s">
        <v>22</v>
      </c>
    </row>
    <row r="289" spans="1:11" x14ac:dyDescent="0.3">
      <c r="A289">
        <v>288</v>
      </c>
      <c r="B289" s="1">
        <v>45637</v>
      </c>
      <c r="C289" t="s">
        <v>311</v>
      </c>
      <c r="D289" t="s">
        <v>24</v>
      </c>
      <c r="E289">
        <v>5</v>
      </c>
      <c r="F289" s="6">
        <v>60.5</v>
      </c>
      <c r="G289">
        <v>302.5</v>
      </c>
      <c r="H289">
        <v>15.13</v>
      </c>
      <c r="I289" s="5">
        <v>287.37</v>
      </c>
      <c r="J289" t="s">
        <v>25</v>
      </c>
      <c r="K289" t="s">
        <v>29</v>
      </c>
    </row>
    <row r="290" spans="1:11" x14ac:dyDescent="0.3">
      <c r="A290">
        <v>289</v>
      </c>
      <c r="B290" s="1">
        <v>45347</v>
      </c>
      <c r="C290" t="s">
        <v>312</v>
      </c>
      <c r="D290" t="s">
        <v>20</v>
      </c>
      <c r="E290">
        <v>3</v>
      </c>
      <c r="F290" s="6">
        <v>72</v>
      </c>
      <c r="G290">
        <v>216</v>
      </c>
      <c r="H290">
        <v>10.8</v>
      </c>
      <c r="I290" s="5">
        <v>205.2</v>
      </c>
      <c r="J290" t="s">
        <v>13</v>
      </c>
      <c r="K290" t="s">
        <v>26</v>
      </c>
    </row>
    <row r="291" spans="1:11" x14ac:dyDescent="0.3">
      <c r="A291">
        <v>290</v>
      </c>
      <c r="B291" s="1">
        <v>45416</v>
      </c>
      <c r="C291" t="s">
        <v>313</v>
      </c>
      <c r="D291" t="s">
        <v>16</v>
      </c>
      <c r="E291">
        <v>2</v>
      </c>
      <c r="F291" s="6">
        <v>85</v>
      </c>
      <c r="G291">
        <v>170</v>
      </c>
      <c r="H291">
        <v>8.5</v>
      </c>
      <c r="I291" s="5">
        <v>161.5</v>
      </c>
      <c r="J291" t="s">
        <v>17</v>
      </c>
      <c r="K291" t="s">
        <v>32</v>
      </c>
    </row>
    <row r="292" spans="1:11" x14ac:dyDescent="0.3">
      <c r="A292">
        <v>291</v>
      </c>
      <c r="B292" s="1">
        <v>45516</v>
      </c>
      <c r="C292" t="s">
        <v>314</v>
      </c>
      <c r="D292" t="s">
        <v>28</v>
      </c>
      <c r="E292">
        <v>1</v>
      </c>
      <c r="F292" s="6">
        <v>31.5</v>
      </c>
      <c r="G292">
        <v>31.5</v>
      </c>
      <c r="H292">
        <v>1.58</v>
      </c>
      <c r="I292" s="5">
        <v>29.93</v>
      </c>
      <c r="J292" t="s">
        <v>21</v>
      </c>
      <c r="K292" t="s">
        <v>18</v>
      </c>
    </row>
    <row r="293" spans="1:11" x14ac:dyDescent="0.3">
      <c r="A293">
        <v>292</v>
      </c>
      <c r="B293" s="1">
        <v>45622</v>
      </c>
      <c r="C293" t="s">
        <v>315</v>
      </c>
      <c r="D293" t="s">
        <v>31</v>
      </c>
      <c r="E293">
        <v>4</v>
      </c>
      <c r="F293" s="6">
        <v>315</v>
      </c>
      <c r="G293">
        <v>1260</v>
      </c>
      <c r="H293">
        <v>63</v>
      </c>
      <c r="I293" s="5">
        <v>1197</v>
      </c>
      <c r="J293" t="s">
        <v>25</v>
      </c>
      <c r="K293" t="s">
        <v>14</v>
      </c>
    </row>
    <row r="294" spans="1:11" x14ac:dyDescent="0.3">
      <c r="A294">
        <v>293</v>
      </c>
      <c r="B294" s="1">
        <v>45402</v>
      </c>
      <c r="C294" t="s">
        <v>316</v>
      </c>
      <c r="D294" t="s">
        <v>34</v>
      </c>
      <c r="E294">
        <v>2</v>
      </c>
      <c r="F294" s="6">
        <v>460</v>
      </c>
      <c r="G294">
        <v>920</v>
      </c>
      <c r="H294">
        <v>46</v>
      </c>
      <c r="I294" s="5">
        <v>874</v>
      </c>
      <c r="J294" t="s">
        <v>13</v>
      </c>
      <c r="K294" t="s">
        <v>22</v>
      </c>
    </row>
    <row r="295" spans="1:11" x14ac:dyDescent="0.3">
      <c r="A295">
        <v>294</v>
      </c>
      <c r="B295" s="1">
        <v>45488</v>
      </c>
      <c r="C295" t="s">
        <v>73</v>
      </c>
      <c r="D295" t="s">
        <v>41</v>
      </c>
      <c r="E295">
        <v>5</v>
      </c>
      <c r="F295" s="6">
        <v>150</v>
      </c>
      <c r="G295">
        <v>750</v>
      </c>
      <c r="H295">
        <v>37.5</v>
      </c>
      <c r="I295" s="5">
        <v>712.5</v>
      </c>
      <c r="J295" t="s">
        <v>17</v>
      </c>
      <c r="K295" t="s">
        <v>29</v>
      </c>
    </row>
    <row r="296" spans="1:11" x14ac:dyDescent="0.3">
      <c r="A296">
        <v>295</v>
      </c>
      <c r="B296" s="1">
        <v>45575</v>
      </c>
      <c r="C296" t="s">
        <v>317</v>
      </c>
      <c r="D296" t="s">
        <v>12</v>
      </c>
      <c r="E296">
        <v>2</v>
      </c>
      <c r="F296" s="6">
        <v>105</v>
      </c>
      <c r="G296">
        <v>210</v>
      </c>
      <c r="H296">
        <v>10.5</v>
      </c>
      <c r="I296" s="5">
        <v>199.5</v>
      </c>
      <c r="J296" t="s">
        <v>21</v>
      </c>
      <c r="K296" t="s">
        <v>26</v>
      </c>
    </row>
    <row r="297" spans="1:11" x14ac:dyDescent="0.3">
      <c r="A297">
        <v>296</v>
      </c>
      <c r="B297" s="1">
        <v>45295</v>
      </c>
      <c r="C297" t="s">
        <v>318</v>
      </c>
      <c r="D297" t="s">
        <v>24</v>
      </c>
      <c r="E297">
        <v>4</v>
      </c>
      <c r="F297" s="6">
        <v>58.5</v>
      </c>
      <c r="G297">
        <v>234</v>
      </c>
      <c r="H297">
        <v>11.7</v>
      </c>
      <c r="I297" s="5">
        <v>222.3</v>
      </c>
      <c r="J297" t="s">
        <v>25</v>
      </c>
      <c r="K297" t="s">
        <v>32</v>
      </c>
    </row>
    <row r="298" spans="1:11" x14ac:dyDescent="0.3">
      <c r="A298">
        <v>297</v>
      </c>
      <c r="B298" s="1">
        <v>45379</v>
      </c>
      <c r="C298" t="s">
        <v>319</v>
      </c>
      <c r="D298" t="s">
        <v>20</v>
      </c>
      <c r="E298">
        <v>2</v>
      </c>
      <c r="F298" s="6">
        <v>82</v>
      </c>
      <c r="G298">
        <v>164</v>
      </c>
      <c r="H298">
        <v>8.1999999999999993</v>
      </c>
      <c r="I298" s="5">
        <v>155.80000000000001</v>
      </c>
      <c r="J298" t="s">
        <v>13</v>
      </c>
      <c r="K298" t="s">
        <v>18</v>
      </c>
    </row>
    <row r="299" spans="1:11" x14ac:dyDescent="0.3">
      <c r="A299">
        <v>298</v>
      </c>
      <c r="B299" s="1">
        <v>45444</v>
      </c>
      <c r="C299" t="s">
        <v>320</v>
      </c>
      <c r="D299" t="s">
        <v>16</v>
      </c>
      <c r="E299">
        <v>1</v>
      </c>
      <c r="F299" s="6">
        <v>102</v>
      </c>
      <c r="G299">
        <v>102</v>
      </c>
      <c r="H299">
        <v>5.0999999999999996</v>
      </c>
      <c r="I299" s="5">
        <v>96.9</v>
      </c>
      <c r="J299" t="s">
        <v>17</v>
      </c>
      <c r="K299" t="s">
        <v>14</v>
      </c>
    </row>
    <row r="300" spans="1:11" x14ac:dyDescent="0.3">
      <c r="A300">
        <v>299</v>
      </c>
      <c r="B300" s="1">
        <v>45549</v>
      </c>
      <c r="C300" t="s">
        <v>321</v>
      </c>
      <c r="D300" t="s">
        <v>28</v>
      </c>
      <c r="E300">
        <v>5</v>
      </c>
      <c r="F300" s="6">
        <v>29</v>
      </c>
      <c r="G300">
        <v>145</v>
      </c>
      <c r="H300">
        <v>7.25</v>
      </c>
      <c r="I300" s="5">
        <v>137.75</v>
      </c>
      <c r="J300" t="s">
        <v>21</v>
      </c>
      <c r="K300" t="s">
        <v>22</v>
      </c>
    </row>
    <row r="301" spans="1:11" x14ac:dyDescent="0.3">
      <c r="A301">
        <v>300</v>
      </c>
      <c r="B301" s="1">
        <v>45639</v>
      </c>
      <c r="C301" t="s">
        <v>322</v>
      </c>
      <c r="D301" t="s">
        <v>31</v>
      </c>
      <c r="E301">
        <v>2</v>
      </c>
      <c r="F301" s="6">
        <v>340</v>
      </c>
      <c r="G301">
        <v>680</v>
      </c>
      <c r="H301">
        <v>34</v>
      </c>
      <c r="I301" s="5">
        <v>646</v>
      </c>
      <c r="J301" t="s">
        <v>25</v>
      </c>
      <c r="K301"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A26EC-D38C-4103-B5CA-123D492A753B}">
  <dimension ref="A1:O674"/>
  <sheetViews>
    <sheetView topLeftCell="A80" zoomScale="84" workbookViewId="0">
      <selection activeCell="K82" sqref="K82"/>
    </sheetView>
  </sheetViews>
  <sheetFormatPr defaultRowHeight="14.4" x14ac:dyDescent="0.3"/>
  <cols>
    <col min="1" max="1" width="15.5546875" bestFit="1" customWidth="1"/>
    <col min="2" max="3" width="14.88671875" bestFit="1" customWidth="1"/>
    <col min="4" max="4" width="19.109375" bestFit="1" customWidth="1"/>
    <col min="5" max="5" width="7.5546875" bestFit="1" customWidth="1"/>
    <col min="6" max="6" width="11.33203125" bestFit="1" customWidth="1"/>
    <col min="7" max="7" width="12.6640625" bestFit="1" customWidth="1"/>
    <col min="8" max="8" width="7.5546875" bestFit="1" customWidth="1"/>
    <col min="9" max="9" width="12.6640625" bestFit="1" customWidth="1"/>
    <col min="10" max="10" width="16" bestFit="1" customWidth="1"/>
  </cols>
  <sheetData>
    <row r="1" spans="1:6" ht="15" thickBot="1" x14ac:dyDescent="0.35"/>
    <row r="2" spans="1:6" ht="15" thickBot="1" x14ac:dyDescent="0.35">
      <c r="A2" s="7"/>
      <c r="B2" s="8" t="s">
        <v>341</v>
      </c>
      <c r="C2" s="8"/>
      <c r="D2" s="9"/>
    </row>
    <row r="3" spans="1:6" ht="15" thickBot="1" x14ac:dyDescent="0.35">
      <c r="A3" s="28" t="s">
        <v>337</v>
      </c>
      <c r="B3" s="29" t="s">
        <v>339</v>
      </c>
      <c r="C3" s="29" t="s">
        <v>338</v>
      </c>
      <c r="D3" s="30" t="s">
        <v>340</v>
      </c>
    </row>
    <row r="4" spans="1:6" ht="15" thickBot="1" x14ac:dyDescent="0.35">
      <c r="A4" s="43">
        <v>100194.93999999999</v>
      </c>
      <c r="B4" s="26">
        <v>45150</v>
      </c>
      <c r="C4" s="26">
        <v>791</v>
      </c>
      <c r="D4" s="27">
        <v>150.5</v>
      </c>
    </row>
    <row r="5" spans="1:6" x14ac:dyDescent="0.3">
      <c r="A5" s="10"/>
      <c r="B5" s="11"/>
      <c r="C5" s="11"/>
      <c r="D5" s="12"/>
    </row>
    <row r="6" spans="1:6" ht="15" thickBot="1" x14ac:dyDescent="0.35">
      <c r="A6" s="42">
        <f>GETPIVOTDATA("Sum of Final Price",$A$3)</f>
        <v>100194.93999999999</v>
      </c>
      <c r="B6" s="13">
        <f>GETPIVOTDATA("Sum of Invoice ID2",$A$3)</f>
        <v>45150</v>
      </c>
      <c r="C6" s="13">
        <f>GETPIVOTDATA("Sum of Quantity",$A$3)</f>
        <v>791</v>
      </c>
      <c r="D6" s="14">
        <f>GETPIVOTDATA("Average of Invoice ID",$A$3)</f>
        <v>150.5</v>
      </c>
    </row>
    <row r="10" spans="1:6" ht="15" thickBot="1" x14ac:dyDescent="0.35"/>
    <row r="11" spans="1:6" x14ac:dyDescent="0.3">
      <c r="A11" s="15"/>
      <c r="B11" s="16"/>
      <c r="C11" s="16"/>
      <c r="D11" s="16"/>
      <c r="E11" s="16"/>
      <c r="F11" s="17"/>
    </row>
    <row r="12" spans="1:6" ht="15" thickBot="1" x14ac:dyDescent="0.35">
      <c r="A12" s="18" t="s">
        <v>342</v>
      </c>
      <c r="B12" s="19"/>
      <c r="C12" s="11"/>
      <c r="D12" s="11"/>
      <c r="E12" s="11"/>
      <c r="F12" s="12"/>
    </row>
    <row r="13" spans="1:6" ht="15" thickBot="1" x14ac:dyDescent="0.35">
      <c r="A13" s="32" t="s">
        <v>323</v>
      </c>
      <c r="B13" s="37" t="s">
        <v>337</v>
      </c>
      <c r="C13" s="11"/>
      <c r="D13" s="11"/>
      <c r="E13" s="11"/>
      <c r="F13" s="12"/>
    </row>
    <row r="14" spans="1:6" x14ac:dyDescent="0.3">
      <c r="A14" s="33" t="s">
        <v>325</v>
      </c>
      <c r="B14" s="44">
        <v>10182.94</v>
      </c>
      <c r="C14" s="11"/>
      <c r="D14" s="11"/>
      <c r="E14" s="11"/>
      <c r="F14" s="12"/>
    </row>
    <row r="15" spans="1:6" x14ac:dyDescent="0.3">
      <c r="A15" s="34" t="s">
        <v>326</v>
      </c>
      <c r="B15" s="45">
        <v>8365.3600000000024</v>
      </c>
      <c r="C15" s="11"/>
      <c r="D15" s="11"/>
      <c r="E15" s="11"/>
      <c r="F15" s="12"/>
    </row>
    <row r="16" spans="1:6" x14ac:dyDescent="0.3">
      <c r="A16" s="34" t="s">
        <v>327</v>
      </c>
      <c r="B16" s="45">
        <v>9363.84</v>
      </c>
      <c r="C16" s="11"/>
      <c r="D16" s="11"/>
      <c r="E16" s="11"/>
      <c r="F16" s="12"/>
    </row>
    <row r="17" spans="1:6" x14ac:dyDescent="0.3">
      <c r="A17" s="34" t="s">
        <v>328</v>
      </c>
      <c r="B17" s="45">
        <v>8212.27</v>
      </c>
      <c r="C17" s="11"/>
      <c r="D17" s="11"/>
      <c r="E17" s="11"/>
      <c r="F17" s="12"/>
    </row>
    <row r="18" spans="1:6" x14ac:dyDescent="0.3">
      <c r="A18" s="34" t="s">
        <v>329</v>
      </c>
      <c r="B18" s="45">
        <v>6664.2699999999995</v>
      </c>
      <c r="C18" s="11"/>
      <c r="D18" s="11"/>
      <c r="E18" s="11"/>
      <c r="F18" s="12"/>
    </row>
    <row r="19" spans="1:6" x14ac:dyDescent="0.3">
      <c r="A19" s="34" t="s">
        <v>330</v>
      </c>
      <c r="B19" s="45">
        <v>7153.96</v>
      </c>
      <c r="C19" s="11"/>
      <c r="D19" s="11"/>
      <c r="E19" s="11"/>
      <c r="F19" s="12"/>
    </row>
    <row r="20" spans="1:6" x14ac:dyDescent="0.3">
      <c r="A20" s="34" t="s">
        <v>331</v>
      </c>
      <c r="B20" s="45">
        <v>11035.720000000001</v>
      </c>
      <c r="C20" s="11"/>
      <c r="D20" s="11"/>
      <c r="E20" s="11"/>
      <c r="F20" s="12"/>
    </row>
    <row r="21" spans="1:6" x14ac:dyDescent="0.3">
      <c r="A21" s="34" t="s">
        <v>332</v>
      </c>
      <c r="B21" s="45">
        <v>6334.0500000000011</v>
      </c>
      <c r="C21" s="11"/>
      <c r="D21" s="11"/>
      <c r="E21" s="11"/>
      <c r="F21" s="12"/>
    </row>
    <row r="22" spans="1:6" x14ac:dyDescent="0.3">
      <c r="A22" s="34" t="s">
        <v>333</v>
      </c>
      <c r="B22" s="45">
        <v>7064.4299999999994</v>
      </c>
      <c r="C22" s="11"/>
      <c r="D22" s="11"/>
      <c r="E22" s="11"/>
      <c r="F22" s="12"/>
    </row>
    <row r="23" spans="1:6" x14ac:dyDescent="0.3">
      <c r="A23" s="34" t="s">
        <v>334</v>
      </c>
      <c r="B23" s="45">
        <v>5154.1399999999994</v>
      </c>
      <c r="C23" s="11"/>
      <c r="D23" s="11"/>
      <c r="E23" s="11"/>
      <c r="F23" s="12"/>
    </row>
    <row r="24" spans="1:6" x14ac:dyDescent="0.3">
      <c r="A24" s="34" t="s">
        <v>335</v>
      </c>
      <c r="B24" s="45">
        <v>10186.529999999999</v>
      </c>
      <c r="C24" s="11"/>
      <c r="D24" s="11"/>
      <c r="E24" s="11"/>
      <c r="F24" s="12"/>
    </row>
    <row r="25" spans="1:6" ht="15" thickBot="1" x14ac:dyDescent="0.35">
      <c r="A25" s="35" t="s">
        <v>336</v>
      </c>
      <c r="B25" s="45">
        <v>10477.430000000002</v>
      </c>
      <c r="C25" s="11"/>
      <c r="D25" s="11"/>
      <c r="E25" s="11"/>
      <c r="F25" s="12"/>
    </row>
    <row r="26" spans="1:6" ht="15" thickBot="1" x14ac:dyDescent="0.35">
      <c r="A26" s="36" t="s">
        <v>324</v>
      </c>
      <c r="B26" s="41">
        <v>100194.94</v>
      </c>
      <c r="C26" s="13"/>
      <c r="D26" s="13"/>
      <c r="E26" s="13"/>
      <c r="F26" s="14"/>
    </row>
    <row r="27" spans="1:6" ht="15" thickBot="1" x14ac:dyDescent="0.35"/>
    <row r="28" spans="1:6" x14ac:dyDescent="0.3">
      <c r="A28" s="22" t="s">
        <v>343</v>
      </c>
      <c r="B28" s="23"/>
      <c r="C28" s="23"/>
      <c r="D28" s="23"/>
      <c r="E28" s="17"/>
    </row>
    <row r="29" spans="1:6" ht="15" thickBot="1" x14ac:dyDescent="0.35">
      <c r="A29" s="10"/>
      <c r="B29" s="11"/>
      <c r="C29" s="11"/>
      <c r="D29" s="11"/>
      <c r="E29" s="12"/>
    </row>
    <row r="30" spans="1:6" ht="15" thickBot="1" x14ac:dyDescent="0.35">
      <c r="A30" s="32" t="s">
        <v>323</v>
      </c>
      <c r="B30" s="37" t="s">
        <v>338</v>
      </c>
      <c r="C30" s="11"/>
      <c r="D30" s="11"/>
      <c r="E30" s="12"/>
    </row>
    <row r="31" spans="1:6" x14ac:dyDescent="0.3">
      <c r="A31" s="33" t="s">
        <v>16</v>
      </c>
      <c r="B31" s="38">
        <v>109</v>
      </c>
      <c r="C31" s="11"/>
      <c r="D31" s="11"/>
      <c r="E31" s="12"/>
    </row>
    <row r="32" spans="1:6" x14ac:dyDescent="0.3">
      <c r="A32" s="34" t="s">
        <v>12</v>
      </c>
      <c r="B32" s="39">
        <v>100</v>
      </c>
      <c r="C32" s="11"/>
      <c r="D32" s="11"/>
      <c r="E32" s="12"/>
    </row>
    <row r="33" spans="1:11" x14ac:dyDescent="0.3">
      <c r="A33" s="34" t="s">
        <v>41</v>
      </c>
      <c r="B33" s="39">
        <v>88</v>
      </c>
      <c r="C33" s="11"/>
      <c r="D33" s="11"/>
      <c r="E33" s="12"/>
    </row>
    <row r="34" spans="1:11" x14ac:dyDescent="0.3">
      <c r="A34" s="34" t="s">
        <v>20</v>
      </c>
      <c r="B34" s="39">
        <v>100</v>
      </c>
      <c r="C34" s="11"/>
      <c r="D34" s="11"/>
      <c r="E34" s="12"/>
    </row>
    <row r="35" spans="1:11" x14ac:dyDescent="0.3">
      <c r="A35" s="34" t="s">
        <v>31</v>
      </c>
      <c r="B35" s="39">
        <v>97</v>
      </c>
      <c r="C35" s="11"/>
      <c r="D35" s="11"/>
      <c r="E35" s="12"/>
    </row>
    <row r="36" spans="1:11" x14ac:dyDescent="0.3">
      <c r="A36" s="34" t="s">
        <v>34</v>
      </c>
      <c r="B36" s="39">
        <v>61</v>
      </c>
      <c r="C36" s="11"/>
      <c r="D36" s="11"/>
      <c r="E36" s="12"/>
    </row>
    <row r="37" spans="1:11" x14ac:dyDescent="0.3">
      <c r="A37" s="34" t="s">
        <v>24</v>
      </c>
      <c r="B37" s="39">
        <v>123</v>
      </c>
      <c r="C37" s="11"/>
      <c r="D37" s="11"/>
      <c r="E37" s="12"/>
    </row>
    <row r="38" spans="1:11" ht="15" thickBot="1" x14ac:dyDescent="0.35">
      <c r="A38" s="35" t="s">
        <v>28</v>
      </c>
      <c r="B38" s="39">
        <v>113</v>
      </c>
      <c r="C38" s="11"/>
      <c r="D38" s="11"/>
      <c r="E38" s="12"/>
    </row>
    <row r="39" spans="1:11" ht="15" thickBot="1" x14ac:dyDescent="0.35">
      <c r="A39" s="36" t="s">
        <v>324</v>
      </c>
      <c r="B39" s="40">
        <v>791</v>
      </c>
      <c r="C39" s="11"/>
      <c r="D39" s="11"/>
      <c r="E39" s="12"/>
    </row>
    <row r="40" spans="1:11" ht="15" thickBot="1" x14ac:dyDescent="0.35">
      <c r="A40" s="21"/>
      <c r="B40" s="13"/>
      <c r="C40" s="13"/>
      <c r="D40" s="13"/>
      <c r="E40" s="14"/>
    </row>
    <row r="44" spans="1:11" x14ac:dyDescent="0.3">
      <c r="A44" s="53" t="s">
        <v>347</v>
      </c>
      <c r="B44" s="53"/>
      <c r="C44" s="53"/>
      <c r="D44" s="53"/>
      <c r="E44" s="53"/>
      <c r="F44" s="53"/>
      <c r="G44" s="53"/>
      <c r="H44" s="53"/>
      <c r="I44" s="53"/>
      <c r="J44" s="53"/>
      <c r="K44" s="53"/>
    </row>
    <row r="45" spans="1:11" ht="15" thickBot="1" x14ac:dyDescent="0.35"/>
    <row r="46" spans="1:11" ht="15" thickBot="1" x14ac:dyDescent="0.35">
      <c r="A46" s="32" t="s">
        <v>323</v>
      </c>
      <c r="B46" s="16" t="s">
        <v>345</v>
      </c>
      <c r="C46" s="16" t="s">
        <v>346</v>
      </c>
      <c r="D46" s="17" t="s">
        <v>337</v>
      </c>
    </row>
    <row r="47" spans="1:11" x14ac:dyDescent="0.3">
      <c r="A47" s="20" t="s">
        <v>16</v>
      </c>
      <c r="B47" s="47">
        <v>3101</v>
      </c>
      <c r="C47" s="51">
        <v>7456</v>
      </c>
      <c r="D47" s="49">
        <v>7078.7300000000005</v>
      </c>
    </row>
    <row r="48" spans="1:11" x14ac:dyDescent="0.3">
      <c r="A48" s="20" t="s">
        <v>12</v>
      </c>
      <c r="B48" s="48">
        <v>4610.24</v>
      </c>
      <c r="C48" s="52">
        <v>10646.23</v>
      </c>
      <c r="D48" s="50">
        <v>10106.86</v>
      </c>
    </row>
    <row r="49" spans="1:15" x14ac:dyDescent="0.3">
      <c r="A49" s="20" t="s">
        <v>41</v>
      </c>
      <c r="B49" s="48">
        <v>5610</v>
      </c>
      <c r="C49" s="52">
        <v>15400</v>
      </c>
      <c r="D49" s="50">
        <v>14630</v>
      </c>
    </row>
    <row r="50" spans="1:15" x14ac:dyDescent="0.3">
      <c r="A50" s="20" t="s">
        <v>20</v>
      </c>
      <c r="B50" s="48">
        <v>3104</v>
      </c>
      <c r="C50" s="52">
        <v>7237.5</v>
      </c>
      <c r="D50" s="50">
        <v>6890.97</v>
      </c>
    </row>
    <row r="51" spans="1:15" x14ac:dyDescent="0.3">
      <c r="A51" s="20" t="s">
        <v>31</v>
      </c>
      <c r="B51" s="48">
        <v>12871</v>
      </c>
      <c r="C51" s="52">
        <v>31662.5</v>
      </c>
      <c r="D51" s="50">
        <v>30122.65</v>
      </c>
    </row>
    <row r="52" spans="1:15" x14ac:dyDescent="0.3">
      <c r="A52" s="20" t="s">
        <v>34</v>
      </c>
      <c r="B52" s="48">
        <v>10979.9</v>
      </c>
      <c r="C52" s="52">
        <v>20079.7</v>
      </c>
      <c r="D52" s="50">
        <v>19075.71</v>
      </c>
    </row>
    <row r="53" spans="1:15" x14ac:dyDescent="0.3">
      <c r="A53" s="20" t="s">
        <v>24</v>
      </c>
      <c r="B53" s="48">
        <v>3220.5599999999995</v>
      </c>
      <c r="C53" s="52">
        <v>9064.7000000000007</v>
      </c>
      <c r="D53" s="50">
        <v>8607.3700000000008</v>
      </c>
    </row>
    <row r="54" spans="1:15" ht="15" thickBot="1" x14ac:dyDescent="0.35">
      <c r="A54" s="20" t="s">
        <v>28</v>
      </c>
      <c r="B54" s="48">
        <v>1332.5</v>
      </c>
      <c r="C54" s="52">
        <v>3876.5</v>
      </c>
      <c r="D54" s="50">
        <v>3682.65</v>
      </c>
    </row>
    <row r="55" spans="1:15" ht="15" thickBot="1" x14ac:dyDescent="0.35">
      <c r="A55" s="36" t="s">
        <v>324</v>
      </c>
      <c r="B55" s="46">
        <v>44829.2</v>
      </c>
      <c r="C55" s="24">
        <v>105423.12999999999</v>
      </c>
      <c r="D55" s="25">
        <v>100194.93999999997</v>
      </c>
    </row>
    <row r="61" spans="1:15" ht="15" thickBot="1" x14ac:dyDescent="0.35"/>
    <row r="62" spans="1:15" x14ac:dyDescent="0.3">
      <c r="A62" s="15"/>
      <c r="B62" s="16"/>
      <c r="C62" s="16"/>
      <c r="D62" s="16"/>
      <c r="E62" s="17"/>
      <c r="I62" s="15"/>
      <c r="J62" s="16"/>
      <c r="K62" s="16"/>
      <c r="L62" s="16"/>
      <c r="M62" s="16"/>
      <c r="N62" s="16"/>
      <c r="O62" s="17"/>
    </row>
    <row r="63" spans="1:15" x14ac:dyDescent="0.3">
      <c r="A63" s="10"/>
      <c r="B63" s="11"/>
      <c r="C63" s="11"/>
      <c r="D63" s="11"/>
      <c r="E63" s="12"/>
      <c r="I63" s="56"/>
      <c r="J63" s="57" t="s">
        <v>349</v>
      </c>
      <c r="K63" s="57"/>
      <c r="L63" s="57"/>
      <c r="M63" s="57"/>
      <c r="N63" s="57"/>
      <c r="O63" s="12"/>
    </row>
    <row r="64" spans="1:15" ht="15" thickBot="1" x14ac:dyDescent="0.35">
      <c r="A64" s="54" t="s">
        <v>348</v>
      </c>
      <c r="B64" s="55"/>
      <c r="C64" s="55"/>
      <c r="D64" s="55"/>
      <c r="E64" s="12"/>
      <c r="I64" s="10"/>
      <c r="J64" s="11"/>
      <c r="K64" s="11"/>
      <c r="L64" s="11"/>
      <c r="M64" s="11"/>
      <c r="N64" s="11"/>
      <c r="O64" s="12"/>
    </row>
    <row r="65" spans="1:15" ht="15" thickBot="1" x14ac:dyDescent="0.35">
      <c r="A65" s="54"/>
      <c r="B65" s="55"/>
      <c r="C65" s="55"/>
      <c r="D65" s="55"/>
      <c r="E65" s="12"/>
      <c r="I65" s="32" t="s">
        <v>323</v>
      </c>
      <c r="J65" s="37" t="s">
        <v>337</v>
      </c>
      <c r="K65" s="11"/>
      <c r="L65" s="11"/>
      <c r="M65" s="11"/>
      <c r="N65" s="11"/>
      <c r="O65" s="12"/>
    </row>
    <row r="66" spans="1:15" ht="15" thickBot="1" x14ac:dyDescent="0.35">
      <c r="A66" s="32" t="s">
        <v>323</v>
      </c>
      <c r="B66" s="37" t="s">
        <v>344</v>
      </c>
      <c r="C66" s="11"/>
      <c r="D66" s="11"/>
      <c r="E66" s="12"/>
      <c r="I66" s="33" t="s">
        <v>26</v>
      </c>
      <c r="J66" s="44">
        <v>13674.730000000001</v>
      </c>
      <c r="K66" s="11"/>
      <c r="L66" s="11"/>
      <c r="M66" s="11"/>
      <c r="N66" s="11"/>
      <c r="O66" s="12"/>
    </row>
    <row r="67" spans="1:15" x14ac:dyDescent="0.3">
      <c r="A67" s="33" t="s">
        <v>13</v>
      </c>
      <c r="B67" s="38">
        <v>81</v>
      </c>
      <c r="C67" s="11"/>
      <c r="D67" s="11"/>
      <c r="E67" s="12"/>
      <c r="I67" s="34" t="s">
        <v>22</v>
      </c>
      <c r="J67" s="45">
        <v>14637.7</v>
      </c>
      <c r="K67" s="11"/>
      <c r="L67" s="11"/>
      <c r="M67" s="11"/>
      <c r="N67" s="11"/>
      <c r="O67" s="12"/>
    </row>
    <row r="68" spans="1:15" x14ac:dyDescent="0.3">
      <c r="A68" s="34" t="s">
        <v>25</v>
      </c>
      <c r="B68" s="39">
        <v>74</v>
      </c>
      <c r="C68" s="11"/>
      <c r="D68" s="11"/>
      <c r="E68" s="12"/>
      <c r="I68" s="34" t="s">
        <v>14</v>
      </c>
      <c r="J68" s="45">
        <v>16297.579999999996</v>
      </c>
      <c r="K68" s="11"/>
      <c r="L68" s="11"/>
      <c r="M68" s="11"/>
      <c r="N68" s="11"/>
      <c r="O68" s="12"/>
    </row>
    <row r="69" spans="1:15" x14ac:dyDescent="0.3">
      <c r="A69" s="34" t="s">
        <v>21</v>
      </c>
      <c r="B69" s="39">
        <v>67</v>
      </c>
      <c r="C69" s="11"/>
      <c r="D69" s="11"/>
      <c r="E69" s="12"/>
      <c r="I69" s="34" t="s">
        <v>32</v>
      </c>
      <c r="J69" s="45">
        <v>17125.860000000004</v>
      </c>
      <c r="K69" s="11"/>
      <c r="L69" s="11"/>
      <c r="M69" s="11"/>
      <c r="N69" s="11"/>
      <c r="O69" s="12"/>
    </row>
    <row r="70" spans="1:15" ht="15" thickBot="1" x14ac:dyDescent="0.35">
      <c r="A70" s="35" t="s">
        <v>17</v>
      </c>
      <c r="B70" s="39">
        <v>78</v>
      </c>
      <c r="C70" s="11"/>
      <c r="D70" s="11"/>
      <c r="E70" s="12"/>
      <c r="I70" s="34" t="s">
        <v>18</v>
      </c>
      <c r="J70" s="45">
        <v>18476.27</v>
      </c>
      <c r="K70" s="11"/>
      <c r="L70" s="11"/>
      <c r="M70" s="11"/>
      <c r="N70" s="11"/>
      <c r="O70" s="12"/>
    </row>
    <row r="71" spans="1:15" ht="15" thickBot="1" x14ac:dyDescent="0.35">
      <c r="A71" s="36" t="s">
        <v>324</v>
      </c>
      <c r="B71" s="40">
        <v>300</v>
      </c>
      <c r="C71" s="11"/>
      <c r="D71" s="11"/>
      <c r="E71" s="12"/>
      <c r="I71" s="35" t="s">
        <v>29</v>
      </c>
      <c r="J71" s="45">
        <v>19982.8</v>
      </c>
      <c r="K71" s="11"/>
      <c r="L71" s="11"/>
      <c r="M71" s="11"/>
      <c r="N71" s="11"/>
      <c r="O71" s="12"/>
    </row>
    <row r="72" spans="1:15" ht="15" thickBot="1" x14ac:dyDescent="0.35">
      <c r="A72" s="10"/>
      <c r="B72" s="11"/>
      <c r="C72" s="11"/>
      <c r="D72" s="11"/>
      <c r="E72" s="12"/>
      <c r="I72" s="36" t="s">
        <v>324</v>
      </c>
      <c r="J72" s="40">
        <v>100194.94</v>
      </c>
      <c r="K72" s="11"/>
      <c r="L72" s="11"/>
      <c r="M72" s="11"/>
      <c r="N72" s="11"/>
      <c r="O72" s="12"/>
    </row>
    <row r="73" spans="1:15" x14ac:dyDescent="0.3">
      <c r="A73" s="10"/>
      <c r="B73" s="11"/>
      <c r="C73" s="11"/>
      <c r="D73" s="11"/>
      <c r="E73" s="12"/>
      <c r="I73" s="10"/>
      <c r="J73" s="11"/>
      <c r="K73" s="11"/>
      <c r="L73" s="11"/>
      <c r="M73" s="11"/>
      <c r="N73" s="11"/>
      <c r="O73" s="12"/>
    </row>
    <row r="74" spans="1:15" x14ac:dyDescent="0.3">
      <c r="A74" s="10"/>
      <c r="B74" s="11"/>
      <c r="C74" s="11"/>
      <c r="D74" s="11"/>
      <c r="E74" s="12"/>
      <c r="I74" s="10"/>
      <c r="J74" s="11"/>
      <c r="K74" s="11"/>
      <c r="L74" s="11"/>
      <c r="M74" s="11"/>
      <c r="N74" s="11"/>
      <c r="O74" s="12"/>
    </row>
    <row r="75" spans="1:15" ht="15" thickBot="1" x14ac:dyDescent="0.35">
      <c r="A75" s="10"/>
      <c r="B75" s="11"/>
      <c r="C75" s="11"/>
      <c r="D75" s="11"/>
      <c r="E75" s="12"/>
      <c r="I75" s="21"/>
      <c r="J75" s="13"/>
      <c r="K75" s="13"/>
      <c r="L75" s="13"/>
      <c r="M75" s="13"/>
      <c r="N75" s="13"/>
      <c r="O75" s="14"/>
    </row>
    <row r="76" spans="1:15" x14ac:dyDescent="0.3">
      <c r="A76" s="10"/>
      <c r="B76" s="11"/>
      <c r="C76" s="11"/>
      <c r="D76" s="11"/>
      <c r="E76" s="12"/>
    </row>
    <row r="77" spans="1:15" x14ac:dyDescent="0.3">
      <c r="A77" s="10"/>
      <c r="B77" s="11"/>
      <c r="C77" s="11"/>
      <c r="D77" s="11"/>
      <c r="E77" s="12"/>
    </row>
    <row r="78" spans="1:15" x14ac:dyDescent="0.3">
      <c r="A78" s="10"/>
      <c r="B78" s="11"/>
      <c r="C78" s="11"/>
      <c r="D78" s="11"/>
      <c r="E78" s="12"/>
    </row>
    <row r="79" spans="1:15" ht="15" thickBot="1" x14ac:dyDescent="0.35">
      <c r="A79" s="21"/>
      <c r="B79" s="13"/>
      <c r="C79" s="13"/>
      <c r="D79" s="13"/>
      <c r="E79" s="14"/>
    </row>
    <row r="82" spans="1:2" ht="15" thickBot="1" x14ac:dyDescent="0.35"/>
    <row r="83" spans="1:2" ht="15" thickBot="1" x14ac:dyDescent="0.35"/>
    <row r="84" spans="1:2" ht="15" thickBot="1" x14ac:dyDescent="0.35"/>
    <row r="85" spans="1:2" ht="15" thickBot="1" x14ac:dyDescent="0.35">
      <c r="A85" s="31" t="s">
        <v>323</v>
      </c>
      <c r="B85" s="37" t="s">
        <v>350</v>
      </c>
    </row>
    <row r="86" spans="1:2" x14ac:dyDescent="0.3">
      <c r="A86" s="20" t="s">
        <v>16</v>
      </c>
      <c r="B86" s="38">
        <v>377.27000000000004</v>
      </c>
    </row>
    <row r="87" spans="1:2" x14ac:dyDescent="0.3">
      <c r="A87" s="20" t="s">
        <v>12</v>
      </c>
      <c r="B87" s="39">
        <v>539.37000000000012</v>
      </c>
    </row>
    <row r="88" spans="1:2" x14ac:dyDescent="0.3">
      <c r="A88" s="20" t="s">
        <v>41</v>
      </c>
      <c r="B88" s="39">
        <v>770</v>
      </c>
    </row>
    <row r="89" spans="1:2" x14ac:dyDescent="0.3">
      <c r="A89" s="20" t="s">
        <v>20</v>
      </c>
      <c r="B89" s="39">
        <v>346.53</v>
      </c>
    </row>
    <row r="90" spans="1:2" x14ac:dyDescent="0.3">
      <c r="A90" s="20" t="s">
        <v>31</v>
      </c>
      <c r="B90" s="39">
        <v>1539.85</v>
      </c>
    </row>
    <row r="91" spans="1:2" x14ac:dyDescent="0.3">
      <c r="A91" s="20" t="s">
        <v>34</v>
      </c>
      <c r="B91" s="39">
        <v>1003.99</v>
      </c>
    </row>
    <row r="92" spans="1:2" x14ac:dyDescent="0.3">
      <c r="A92" s="20" t="s">
        <v>24</v>
      </c>
      <c r="B92" s="39">
        <v>457.32999999999987</v>
      </c>
    </row>
    <row r="93" spans="1:2" ht="15" thickBot="1" x14ac:dyDescent="0.35">
      <c r="A93" s="20" t="s">
        <v>28</v>
      </c>
      <c r="B93" s="39">
        <v>193.85999999999999</v>
      </c>
    </row>
    <row r="94" spans="1:2" ht="15" thickBot="1" x14ac:dyDescent="0.35">
      <c r="A94" s="36" t="s">
        <v>324</v>
      </c>
      <c r="B94" s="40">
        <v>5228.2</v>
      </c>
    </row>
    <row r="379" ht="15" thickBot="1" x14ac:dyDescent="0.35"/>
    <row r="380" ht="15" thickBot="1" x14ac:dyDescent="0.35"/>
    <row r="673" ht="15" thickBot="1" x14ac:dyDescent="0.35"/>
    <row r="674" ht="15" thickBot="1" x14ac:dyDescent="0.35"/>
  </sheetData>
  <mergeCells count="4">
    <mergeCell ref="A12:B12"/>
    <mergeCell ref="A28:D28"/>
    <mergeCell ref="A44:K44"/>
    <mergeCell ref="A64:D65"/>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8434-52C2-45D8-A2C7-41243D617E2F}">
  <dimension ref="A1:AD120"/>
  <sheetViews>
    <sheetView tabSelected="1" zoomScale="70" zoomScaleNormal="70" workbookViewId="0">
      <selection activeCell="Y19" sqref="Y19"/>
    </sheetView>
  </sheetViews>
  <sheetFormatPr defaultRowHeight="14.4" x14ac:dyDescent="0.3"/>
  <cols>
    <col min="4" max="4" width="8.88671875" style="4"/>
  </cols>
  <sheetData>
    <row r="1" spans="1:30" x14ac:dyDescent="0.3">
      <c r="A1" s="2"/>
      <c r="B1" s="2"/>
      <c r="C1" s="2"/>
      <c r="D1" s="3"/>
      <c r="E1" s="2"/>
      <c r="F1" s="2"/>
      <c r="G1" s="2"/>
      <c r="H1" s="2"/>
      <c r="I1" s="2"/>
      <c r="J1" s="2"/>
      <c r="K1" s="2"/>
      <c r="L1" s="2"/>
      <c r="M1" s="2"/>
      <c r="N1" s="2"/>
      <c r="O1" s="2"/>
      <c r="P1" s="2"/>
      <c r="Q1" s="2"/>
      <c r="R1" s="2"/>
      <c r="S1" s="2"/>
      <c r="T1" s="2"/>
      <c r="U1" s="2"/>
      <c r="V1" s="2"/>
      <c r="W1" s="2"/>
      <c r="X1" s="2"/>
      <c r="Y1" s="2"/>
      <c r="Z1" s="2"/>
      <c r="AA1" s="2"/>
      <c r="AB1" s="2"/>
      <c r="AC1" s="2"/>
      <c r="AD1" s="2"/>
    </row>
    <row r="2" spans="1:30" x14ac:dyDescent="0.3">
      <c r="A2" s="2"/>
      <c r="B2" s="2"/>
      <c r="C2" s="2"/>
      <c r="D2" s="3"/>
      <c r="E2" s="2"/>
      <c r="F2" s="2"/>
      <c r="G2" s="2"/>
      <c r="H2" s="2"/>
      <c r="I2" s="2"/>
      <c r="J2" s="2"/>
      <c r="K2" s="2"/>
      <c r="L2" s="2"/>
      <c r="M2" s="2"/>
      <c r="N2" s="2"/>
      <c r="O2" s="2"/>
      <c r="P2" s="2"/>
      <c r="Q2" s="2"/>
      <c r="R2" s="2"/>
      <c r="S2" s="2"/>
      <c r="T2" s="2"/>
      <c r="U2" s="2"/>
      <c r="V2" s="2"/>
      <c r="W2" s="2"/>
      <c r="X2" s="2"/>
      <c r="Y2" s="2"/>
      <c r="Z2" s="2"/>
      <c r="AA2" s="2"/>
      <c r="AB2" s="2"/>
      <c r="AC2" s="2"/>
      <c r="AD2" s="2"/>
    </row>
    <row r="3" spans="1:30" x14ac:dyDescent="0.3">
      <c r="A3" s="2"/>
      <c r="B3" s="2"/>
      <c r="C3" s="2"/>
      <c r="D3" s="3"/>
      <c r="E3" s="2"/>
      <c r="F3" s="2"/>
      <c r="G3" s="2"/>
      <c r="H3" s="2"/>
      <c r="I3" s="2"/>
      <c r="J3" s="2"/>
      <c r="K3" s="2"/>
      <c r="L3" s="2"/>
      <c r="M3" s="2"/>
      <c r="N3" s="2"/>
      <c r="O3" s="2"/>
      <c r="P3" s="2"/>
      <c r="Q3" s="2"/>
      <c r="R3" s="2"/>
      <c r="S3" s="2"/>
      <c r="T3" s="2"/>
      <c r="U3" s="2"/>
      <c r="V3" s="2"/>
      <c r="W3" s="2"/>
      <c r="X3" s="2"/>
      <c r="Y3" s="2"/>
      <c r="Z3" s="2"/>
      <c r="AA3" s="2"/>
      <c r="AB3" s="2"/>
      <c r="AC3" s="2"/>
      <c r="AD3" s="2"/>
    </row>
    <row r="4" spans="1:30" x14ac:dyDescent="0.3">
      <c r="A4" s="2"/>
      <c r="B4" s="2"/>
      <c r="C4" s="2"/>
      <c r="D4" s="3"/>
      <c r="E4" s="2"/>
      <c r="F4" s="2"/>
      <c r="G4" s="2"/>
      <c r="H4" s="2"/>
      <c r="I4" s="2"/>
      <c r="J4" s="2"/>
      <c r="K4" s="2"/>
      <c r="L4" s="2"/>
      <c r="M4" s="2"/>
      <c r="N4" s="2"/>
      <c r="O4" s="2"/>
      <c r="P4" s="2"/>
      <c r="Q4" s="2"/>
      <c r="R4" s="2"/>
      <c r="S4" s="2"/>
      <c r="T4" s="2"/>
      <c r="U4" s="2"/>
      <c r="V4" s="2"/>
      <c r="W4" s="2"/>
      <c r="X4" s="2"/>
      <c r="Y4" s="2"/>
      <c r="Z4" s="2"/>
      <c r="AA4" s="2"/>
      <c r="AB4" s="2"/>
      <c r="AC4" s="2"/>
      <c r="AD4" s="2"/>
    </row>
    <row r="5" spans="1:30" x14ac:dyDescent="0.3">
      <c r="A5" s="2"/>
      <c r="B5" s="2"/>
      <c r="C5" s="2"/>
      <c r="D5" s="3"/>
      <c r="E5" s="2"/>
      <c r="F5" s="2"/>
      <c r="G5" s="2"/>
      <c r="H5" s="2"/>
      <c r="I5" s="2"/>
      <c r="J5" s="2"/>
      <c r="K5" s="2"/>
      <c r="L5" s="2"/>
      <c r="M5" s="2"/>
      <c r="N5" s="2"/>
      <c r="O5" s="2"/>
      <c r="P5" s="2"/>
      <c r="Q5" s="2"/>
      <c r="R5" s="2"/>
      <c r="S5" s="2"/>
      <c r="T5" s="2"/>
      <c r="U5" s="2"/>
      <c r="V5" s="2"/>
      <c r="W5" s="2"/>
      <c r="X5" s="2"/>
      <c r="Y5" s="2"/>
      <c r="Z5" s="2"/>
      <c r="AA5" s="2"/>
      <c r="AB5" s="2"/>
      <c r="AC5" s="2"/>
      <c r="AD5" s="2"/>
    </row>
    <row r="6" spans="1:30" x14ac:dyDescent="0.3">
      <c r="A6" s="2"/>
      <c r="B6" s="2"/>
      <c r="C6" s="2"/>
      <c r="D6" s="3"/>
      <c r="E6" s="2"/>
      <c r="F6" s="2"/>
      <c r="G6" s="2"/>
      <c r="H6" s="2"/>
      <c r="I6" s="2"/>
      <c r="J6" s="2"/>
      <c r="K6" s="2"/>
      <c r="L6" s="2"/>
      <c r="M6" s="2"/>
      <c r="N6" s="2"/>
      <c r="O6" s="2"/>
      <c r="P6" s="2"/>
      <c r="Q6" s="2"/>
      <c r="R6" s="2"/>
      <c r="S6" s="2"/>
      <c r="T6" s="2"/>
      <c r="U6" s="2"/>
      <c r="V6" s="2"/>
      <c r="W6" s="2"/>
      <c r="X6" s="2"/>
      <c r="Y6" s="2"/>
      <c r="Z6" s="2"/>
      <c r="AA6" s="2"/>
      <c r="AB6" s="2"/>
      <c r="AC6" s="2"/>
      <c r="AD6" s="2"/>
    </row>
    <row r="7" spans="1:30" x14ac:dyDescent="0.3">
      <c r="A7" s="2"/>
      <c r="B7" s="2"/>
      <c r="C7" s="2"/>
      <c r="D7" s="3"/>
      <c r="E7" s="2"/>
      <c r="F7" s="2"/>
      <c r="G7" s="2"/>
      <c r="H7" s="2"/>
      <c r="I7" s="2"/>
      <c r="J7" s="2"/>
      <c r="K7" s="2"/>
      <c r="L7" s="2"/>
      <c r="M7" s="2"/>
      <c r="N7" s="2"/>
      <c r="O7" s="2"/>
      <c r="P7" s="2"/>
      <c r="Q7" s="2"/>
      <c r="R7" s="2"/>
      <c r="S7" s="2"/>
      <c r="T7" s="2"/>
      <c r="U7" s="2"/>
      <c r="V7" s="2"/>
      <c r="W7" s="2"/>
      <c r="X7" s="2"/>
      <c r="Y7" s="2"/>
      <c r="Z7" s="2"/>
      <c r="AA7" s="2"/>
      <c r="AB7" s="2"/>
      <c r="AC7" s="2"/>
      <c r="AD7" s="2"/>
    </row>
    <row r="8" spans="1:30" x14ac:dyDescent="0.3">
      <c r="A8" s="2"/>
      <c r="B8" s="2"/>
      <c r="C8" s="2"/>
      <c r="D8" s="3"/>
      <c r="E8" s="2"/>
      <c r="F8" s="2"/>
      <c r="G8" s="2"/>
      <c r="H8" s="2"/>
      <c r="I8" s="2"/>
      <c r="J8" s="2"/>
      <c r="K8" s="2"/>
      <c r="L8" s="2"/>
      <c r="M8" s="2"/>
      <c r="N8" s="2"/>
      <c r="O8" s="2"/>
      <c r="P8" s="2"/>
      <c r="Q8" s="2"/>
      <c r="R8" s="2"/>
      <c r="S8" s="2"/>
      <c r="T8" s="2"/>
      <c r="U8" s="2"/>
      <c r="V8" s="2"/>
      <c r="W8" s="2"/>
      <c r="X8" s="2"/>
      <c r="Y8" s="2"/>
      <c r="Z8" s="2"/>
      <c r="AA8" s="2"/>
      <c r="AB8" s="2"/>
      <c r="AC8" s="2"/>
      <c r="AD8" s="2"/>
    </row>
    <row r="9" spans="1:30" x14ac:dyDescent="0.3">
      <c r="A9" s="2"/>
      <c r="B9" s="2"/>
      <c r="C9" s="2"/>
      <c r="D9" s="3"/>
      <c r="E9" s="2"/>
      <c r="F9" s="2"/>
      <c r="G9" s="2"/>
      <c r="H9" s="2"/>
      <c r="I9" s="2"/>
      <c r="J9" s="2"/>
      <c r="K9" s="2"/>
      <c r="L9" s="2"/>
      <c r="M9" s="2"/>
      <c r="N9" s="2"/>
      <c r="O9" s="2"/>
      <c r="P9" s="2"/>
      <c r="Q9" s="2"/>
      <c r="R9" s="2"/>
      <c r="S9" s="2"/>
      <c r="T9" s="2"/>
      <c r="U9" s="2"/>
      <c r="V9" s="2"/>
      <c r="W9" s="2"/>
      <c r="X9" s="2"/>
      <c r="Y9" s="2"/>
      <c r="Z9" s="2"/>
      <c r="AA9" s="2"/>
      <c r="AB9" s="2"/>
      <c r="AC9" s="2"/>
      <c r="AD9" s="2"/>
    </row>
    <row r="10" spans="1:30" x14ac:dyDescent="0.3">
      <c r="A10" s="2"/>
      <c r="B10" s="2"/>
      <c r="C10" s="2"/>
      <c r="D10" s="3"/>
      <c r="E10" s="2"/>
      <c r="F10" s="2"/>
      <c r="G10" s="2"/>
      <c r="H10" s="2"/>
      <c r="I10" s="2"/>
      <c r="J10" s="2"/>
      <c r="K10" s="2"/>
      <c r="L10" s="2"/>
      <c r="M10" s="2"/>
      <c r="N10" s="2"/>
      <c r="O10" s="2"/>
      <c r="P10" s="2"/>
      <c r="Q10" s="2"/>
      <c r="R10" s="2"/>
      <c r="S10" s="2"/>
      <c r="T10" s="2"/>
      <c r="U10" s="2"/>
      <c r="V10" s="2"/>
      <c r="W10" s="2"/>
      <c r="X10" s="2"/>
      <c r="Y10" s="2"/>
      <c r="Z10" s="2"/>
      <c r="AA10" s="2"/>
      <c r="AB10" s="2"/>
      <c r="AC10" s="2"/>
      <c r="AD10" s="2"/>
    </row>
    <row r="11" spans="1:30" x14ac:dyDescent="0.3">
      <c r="A11" s="2"/>
      <c r="B11" s="2"/>
      <c r="C11" s="2"/>
      <c r="D11" s="3"/>
      <c r="E11" s="2"/>
      <c r="F11" s="2"/>
      <c r="G11" s="2"/>
      <c r="H11" s="2"/>
      <c r="I11" s="2"/>
      <c r="J11" s="2"/>
      <c r="K11" s="2"/>
      <c r="L11" s="2"/>
      <c r="M11" s="2"/>
      <c r="N11" s="2"/>
      <c r="O11" s="2"/>
      <c r="P11" s="2"/>
      <c r="Q11" s="2"/>
      <c r="R11" s="2"/>
      <c r="S11" s="2"/>
      <c r="T11" s="2"/>
      <c r="U11" s="2"/>
      <c r="V11" s="2"/>
      <c r="W11" s="2"/>
      <c r="X11" s="2"/>
      <c r="Y11" s="2"/>
      <c r="Z11" s="2"/>
      <c r="AA11" s="2"/>
      <c r="AB11" s="2"/>
      <c r="AC11" s="2"/>
      <c r="AD11" s="2"/>
    </row>
    <row r="12" spans="1:30" x14ac:dyDescent="0.3">
      <c r="A12" s="2"/>
      <c r="B12" s="2"/>
      <c r="C12" s="2"/>
      <c r="D12" s="3"/>
      <c r="E12" s="2"/>
      <c r="F12" s="2"/>
      <c r="G12" s="2"/>
      <c r="H12" s="2"/>
      <c r="I12" s="2"/>
      <c r="J12" s="2"/>
      <c r="K12" s="2"/>
      <c r="L12" s="2"/>
      <c r="M12" s="2"/>
      <c r="N12" s="2"/>
      <c r="O12" s="2"/>
      <c r="P12" s="2"/>
      <c r="Q12" s="2"/>
      <c r="R12" s="2"/>
      <c r="S12" s="2"/>
      <c r="T12" s="2"/>
      <c r="U12" s="2"/>
      <c r="V12" s="2"/>
      <c r="W12" s="2"/>
      <c r="X12" s="2"/>
      <c r="Y12" s="2"/>
      <c r="Z12" s="2"/>
      <c r="AA12" s="2"/>
      <c r="AB12" s="2"/>
      <c r="AC12" s="2"/>
      <c r="AD12" s="2"/>
    </row>
    <row r="13" spans="1:30" x14ac:dyDescent="0.3">
      <c r="A13" s="2"/>
      <c r="B13" s="2"/>
      <c r="C13" s="2"/>
      <c r="D13" s="3"/>
      <c r="E13" s="2"/>
      <c r="F13" s="2"/>
      <c r="G13" s="2"/>
      <c r="H13" s="2"/>
      <c r="I13" s="2"/>
      <c r="J13" s="2"/>
      <c r="K13" s="2"/>
      <c r="L13" s="2"/>
      <c r="M13" s="2"/>
      <c r="N13" s="2"/>
      <c r="O13" s="2"/>
      <c r="P13" s="2"/>
      <c r="Q13" s="2"/>
      <c r="R13" s="2"/>
      <c r="S13" s="2"/>
      <c r="T13" s="2"/>
      <c r="U13" s="2"/>
      <c r="V13" s="2"/>
      <c r="W13" s="2"/>
      <c r="X13" s="2"/>
      <c r="Y13" s="2"/>
      <c r="Z13" s="2"/>
      <c r="AA13" s="2"/>
      <c r="AB13" s="2"/>
      <c r="AC13" s="2"/>
      <c r="AD13" s="2"/>
    </row>
    <row r="14" spans="1:30" x14ac:dyDescent="0.3">
      <c r="A14" s="2"/>
      <c r="B14" s="2"/>
      <c r="C14" s="2"/>
      <c r="D14" s="3"/>
      <c r="E14" s="2"/>
      <c r="F14" s="2"/>
      <c r="G14" s="2"/>
      <c r="H14" s="2"/>
      <c r="I14" s="2"/>
      <c r="J14" s="2"/>
      <c r="K14" s="2"/>
      <c r="L14" s="2"/>
      <c r="M14" s="2"/>
      <c r="N14" s="2"/>
      <c r="O14" s="2"/>
      <c r="P14" s="2"/>
      <c r="Q14" s="2"/>
      <c r="R14" s="2"/>
      <c r="S14" s="2"/>
      <c r="T14" s="2"/>
      <c r="U14" s="2"/>
      <c r="V14" s="2"/>
      <c r="W14" s="2"/>
      <c r="X14" s="2"/>
      <c r="Y14" s="2"/>
      <c r="Z14" s="2"/>
      <c r="AA14" s="2"/>
      <c r="AB14" s="2"/>
      <c r="AC14" s="2"/>
      <c r="AD14" s="2"/>
    </row>
    <row r="15" spans="1:30" x14ac:dyDescent="0.3">
      <c r="A15" s="2"/>
      <c r="B15" s="2"/>
      <c r="C15" s="2"/>
      <c r="D15" s="3"/>
      <c r="E15" s="2"/>
      <c r="F15" s="2"/>
      <c r="G15" s="2"/>
      <c r="H15" s="2"/>
      <c r="I15" s="2"/>
      <c r="J15" s="2"/>
      <c r="K15" s="2"/>
      <c r="L15" s="2"/>
      <c r="M15" s="2"/>
      <c r="N15" s="2"/>
      <c r="O15" s="2"/>
      <c r="P15" s="2"/>
      <c r="Q15" s="2"/>
      <c r="R15" s="2"/>
      <c r="S15" s="2"/>
      <c r="T15" s="2"/>
      <c r="U15" s="2"/>
      <c r="V15" s="2"/>
      <c r="W15" s="2"/>
      <c r="X15" s="2"/>
      <c r="Y15" s="2"/>
      <c r="Z15" s="2"/>
      <c r="AA15" s="2"/>
      <c r="AB15" s="2"/>
      <c r="AC15" s="2"/>
      <c r="AD15" s="2"/>
    </row>
    <row r="16" spans="1:30" x14ac:dyDescent="0.3">
      <c r="A16" s="2"/>
      <c r="B16" s="2"/>
      <c r="C16" s="2"/>
      <c r="D16" s="3"/>
      <c r="E16" s="2"/>
      <c r="F16" s="2"/>
      <c r="G16" s="2"/>
      <c r="H16" s="2"/>
      <c r="I16" s="2"/>
      <c r="J16" s="2"/>
      <c r="K16" s="2"/>
      <c r="L16" s="2"/>
      <c r="M16" s="2"/>
      <c r="N16" s="2"/>
      <c r="O16" s="2"/>
      <c r="P16" s="2"/>
      <c r="Q16" s="2"/>
      <c r="R16" s="2"/>
      <c r="S16" s="2"/>
      <c r="T16" s="2"/>
      <c r="U16" s="2"/>
      <c r="V16" s="2"/>
      <c r="W16" s="2"/>
      <c r="X16" s="2"/>
      <c r="Y16" s="2"/>
      <c r="Z16" s="2"/>
      <c r="AA16" s="2"/>
      <c r="AB16" s="2"/>
      <c r="AC16" s="2"/>
      <c r="AD16" s="2"/>
    </row>
    <row r="17" spans="1:30" x14ac:dyDescent="0.3">
      <c r="A17" s="2"/>
      <c r="B17" s="2"/>
      <c r="C17" s="2"/>
      <c r="D17" s="3"/>
      <c r="E17" s="2"/>
      <c r="F17" s="2"/>
      <c r="G17" s="2"/>
      <c r="H17" s="2"/>
      <c r="I17" s="2"/>
      <c r="J17" s="2"/>
      <c r="K17" s="2"/>
      <c r="L17" s="2"/>
      <c r="M17" s="2"/>
      <c r="N17" s="2"/>
      <c r="O17" s="2"/>
      <c r="P17" s="2"/>
      <c r="Q17" s="2"/>
      <c r="R17" s="2"/>
      <c r="S17" s="2"/>
      <c r="T17" s="2"/>
      <c r="U17" s="2"/>
      <c r="V17" s="2"/>
      <c r="W17" s="2"/>
      <c r="X17" s="2"/>
      <c r="Y17" s="2"/>
      <c r="Z17" s="2"/>
      <c r="AA17" s="2"/>
      <c r="AB17" s="2"/>
      <c r="AC17" s="2"/>
      <c r="AD17" s="2"/>
    </row>
    <row r="18" spans="1:30" x14ac:dyDescent="0.3">
      <c r="A18" s="2"/>
      <c r="B18" s="2"/>
      <c r="C18" s="2"/>
      <c r="D18" s="3"/>
      <c r="E18" s="2"/>
      <c r="F18" s="2"/>
      <c r="G18" s="2"/>
      <c r="H18" s="2"/>
      <c r="I18" s="2"/>
      <c r="J18" s="2"/>
      <c r="K18" s="2"/>
      <c r="L18" s="2"/>
      <c r="M18" s="2"/>
      <c r="N18" s="2"/>
      <c r="O18" s="2"/>
      <c r="P18" s="2"/>
      <c r="Q18" s="2"/>
      <c r="R18" s="2"/>
      <c r="S18" s="2"/>
      <c r="T18" s="2"/>
      <c r="U18" s="2"/>
      <c r="V18" s="2"/>
      <c r="W18" s="2"/>
      <c r="X18" s="2"/>
      <c r="Y18" s="2"/>
      <c r="Z18" s="2"/>
      <c r="AA18" s="2"/>
      <c r="AB18" s="2"/>
      <c r="AC18" s="2"/>
      <c r="AD18" s="2"/>
    </row>
    <row r="19" spans="1:30" x14ac:dyDescent="0.3">
      <c r="A19" s="2"/>
      <c r="B19" s="2"/>
      <c r="C19" s="2"/>
      <c r="D19" s="3"/>
      <c r="E19" s="2"/>
      <c r="F19" s="2"/>
      <c r="G19" s="2"/>
      <c r="H19" s="2"/>
      <c r="I19" s="2"/>
      <c r="J19" s="2"/>
      <c r="K19" s="2"/>
      <c r="L19" s="2"/>
      <c r="M19" s="2"/>
      <c r="N19" s="2"/>
      <c r="O19" s="2"/>
      <c r="P19" s="2"/>
      <c r="Q19" s="2"/>
      <c r="R19" s="2"/>
      <c r="S19" s="2"/>
      <c r="T19" s="2"/>
      <c r="U19" s="2"/>
      <c r="V19" s="2"/>
      <c r="W19" s="2"/>
      <c r="X19" s="2"/>
      <c r="Y19" s="2"/>
      <c r="Z19" s="2"/>
      <c r="AA19" s="2"/>
      <c r="AB19" s="2"/>
      <c r="AC19" s="2"/>
      <c r="AD19" s="2"/>
    </row>
    <row r="20" spans="1:30" x14ac:dyDescent="0.3">
      <c r="A20" s="2"/>
      <c r="B20" s="2"/>
      <c r="C20" s="2"/>
      <c r="D20" s="3"/>
      <c r="E20" s="2"/>
      <c r="F20" s="2"/>
      <c r="G20" s="2"/>
      <c r="H20" s="2"/>
      <c r="I20" s="2"/>
      <c r="J20" s="2"/>
      <c r="K20" s="2"/>
      <c r="L20" s="2"/>
      <c r="M20" s="2"/>
      <c r="N20" s="2"/>
      <c r="O20" s="2"/>
      <c r="P20" s="2"/>
      <c r="Q20" s="2"/>
      <c r="R20" s="2"/>
      <c r="S20" s="2"/>
      <c r="T20" s="2"/>
      <c r="U20" s="2"/>
      <c r="V20" s="2"/>
      <c r="W20" s="2"/>
      <c r="X20" s="2"/>
      <c r="Y20" s="2"/>
      <c r="Z20" s="2"/>
      <c r="AA20" s="2"/>
      <c r="AB20" s="2"/>
      <c r="AC20" s="2"/>
      <c r="AD20" s="2"/>
    </row>
    <row r="21" spans="1:30" x14ac:dyDescent="0.3">
      <c r="A21" s="2"/>
      <c r="B21" s="2"/>
      <c r="C21" s="2"/>
      <c r="D21" s="3"/>
      <c r="E21" s="2"/>
      <c r="F21" s="2"/>
      <c r="G21" s="2"/>
      <c r="H21" s="2"/>
      <c r="I21" s="2"/>
      <c r="J21" s="2"/>
      <c r="K21" s="2"/>
      <c r="L21" s="2"/>
      <c r="M21" s="2"/>
      <c r="N21" s="2"/>
      <c r="O21" s="2"/>
      <c r="P21" s="2"/>
      <c r="Q21" s="2"/>
      <c r="R21" s="2"/>
      <c r="S21" s="2"/>
      <c r="T21" s="2"/>
      <c r="U21" s="2"/>
      <c r="V21" s="2"/>
      <c r="W21" s="2"/>
      <c r="X21" s="2"/>
      <c r="Y21" s="2"/>
      <c r="Z21" s="2"/>
      <c r="AA21" s="2"/>
      <c r="AB21" s="2"/>
      <c r="AC21" s="2"/>
      <c r="AD21" s="2"/>
    </row>
    <row r="22" spans="1:30" x14ac:dyDescent="0.3">
      <c r="A22" s="2"/>
      <c r="B22" s="2"/>
      <c r="C22" s="2"/>
      <c r="D22" s="3"/>
      <c r="E22" s="2"/>
      <c r="F22" s="2"/>
      <c r="G22" s="2"/>
      <c r="H22" s="2"/>
      <c r="I22" s="2"/>
      <c r="J22" s="2"/>
      <c r="K22" s="2"/>
      <c r="L22" s="2"/>
      <c r="M22" s="2"/>
      <c r="N22" s="2"/>
      <c r="O22" s="2"/>
      <c r="P22" s="2"/>
      <c r="Q22" s="2"/>
      <c r="R22" s="2"/>
      <c r="S22" s="2"/>
      <c r="T22" s="2"/>
      <c r="U22" s="2"/>
      <c r="V22" s="2"/>
      <c r="W22" s="2"/>
      <c r="X22" s="2"/>
      <c r="Y22" s="2"/>
      <c r="Z22" s="2"/>
      <c r="AA22" s="2"/>
      <c r="AB22" s="2"/>
      <c r="AC22" s="2"/>
      <c r="AD22" s="2"/>
    </row>
    <row r="23" spans="1:30" x14ac:dyDescent="0.3">
      <c r="A23" s="2"/>
      <c r="B23" s="2"/>
      <c r="C23" s="2"/>
      <c r="D23" s="3"/>
      <c r="E23" s="2"/>
      <c r="F23" s="2"/>
      <c r="G23" s="2"/>
      <c r="H23" s="2"/>
      <c r="I23" s="2"/>
      <c r="J23" s="2"/>
      <c r="K23" s="2"/>
      <c r="L23" s="2"/>
      <c r="M23" s="2"/>
      <c r="N23" s="2"/>
      <c r="O23" s="2"/>
      <c r="P23" s="2"/>
      <c r="Q23" s="2"/>
      <c r="R23" s="2"/>
      <c r="S23" s="2"/>
      <c r="T23" s="2"/>
      <c r="U23" s="2"/>
      <c r="V23" s="2"/>
      <c r="W23" s="2"/>
      <c r="X23" s="2"/>
      <c r="Y23" s="2"/>
      <c r="Z23" s="2"/>
      <c r="AA23" s="2"/>
      <c r="AB23" s="2"/>
      <c r="AC23" s="2"/>
      <c r="AD23" s="2"/>
    </row>
    <row r="24" spans="1:30" x14ac:dyDescent="0.3">
      <c r="A24" s="2"/>
      <c r="B24" s="2"/>
      <c r="C24" s="2"/>
      <c r="D24" s="3"/>
      <c r="E24" s="2"/>
      <c r="F24" s="2"/>
      <c r="G24" s="2"/>
      <c r="H24" s="2"/>
      <c r="I24" s="2"/>
      <c r="J24" s="2"/>
      <c r="K24" s="2"/>
      <c r="L24" s="2"/>
      <c r="M24" s="2"/>
      <c r="N24" s="2"/>
      <c r="O24" s="2"/>
      <c r="P24" s="2"/>
      <c r="Q24" s="2"/>
      <c r="R24" s="2"/>
      <c r="S24" s="2"/>
      <c r="T24" s="2"/>
      <c r="U24" s="2"/>
      <c r="V24" s="2"/>
      <c r="W24" s="2"/>
      <c r="X24" s="2"/>
      <c r="Y24" s="2"/>
      <c r="Z24" s="2"/>
      <c r="AA24" s="2"/>
      <c r="AB24" s="2"/>
      <c r="AC24" s="2"/>
      <c r="AD24" s="2"/>
    </row>
    <row r="25" spans="1:30" x14ac:dyDescent="0.3">
      <c r="A25" s="2"/>
      <c r="B25" s="2"/>
      <c r="C25" s="2"/>
      <c r="D25" s="3"/>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x14ac:dyDescent="0.3">
      <c r="A26" s="2"/>
      <c r="B26" s="2"/>
      <c r="C26" s="2"/>
      <c r="D26" s="3"/>
      <c r="E26" s="2"/>
      <c r="F26" s="2"/>
      <c r="G26" s="2"/>
      <c r="H26" s="2"/>
      <c r="I26" s="2"/>
      <c r="J26" s="2"/>
      <c r="K26" s="2"/>
      <c r="L26" s="2"/>
      <c r="M26" s="2"/>
      <c r="N26" s="2"/>
      <c r="O26" s="2"/>
      <c r="P26" s="2"/>
      <c r="Q26" s="2"/>
      <c r="R26" s="2"/>
      <c r="S26" s="2"/>
      <c r="T26" s="2"/>
      <c r="U26" s="2"/>
      <c r="V26" s="2"/>
      <c r="W26" s="2"/>
      <c r="X26" s="2"/>
      <c r="Y26" s="2"/>
      <c r="Z26" s="2"/>
      <c r="AA26" s="2"/>
      <c r="AB26" s="2"/>
      <c r="AC26" s="2"/>
      <c r="AD26" s="2"/>
    </row>
    <row r="27" spans="1:30" x14ac:dyDescent="0.3">
      <c r="A27" s="2"/>
      <c r="B27" s="2"/>
      <c r="C27" s="2"/>
      <c r="D27" s="3"/>
      <c r="E27" s="2"/>
      <c r="F27" s="2"/>
      <c r="G27" s="2"/>
      <c r="H27" s="2"/>
      <c r="I27" s="2"/>
      <c r="J27" s="2"/>
      <c r="K27" s="2"/>
      <c r="L27" s="2"/>
      <c r="M27" s="2"/>
      <c r="N27" s="2"/>
      <c r="O27" s="2"/>
      <c r="P27" s="2"/>
      <c r="Q27" s="2"/>
      <c r="R27" s="2"/>
      <c r="S27" s="2"/>
      <c r="T27" s="2"/>
      <c r="U27" s="2"/>
      <c r="V27" s="2"/>
      <c r="W27" s="2"/>
      <c r="X27" s="2"/>
      <c r="Y27" s="2"/>
      <c r="Z27" s="2"/>
      <c r="AA27" s="2"/>
      <c r="AB27" s="2"/>
      <c r="AC27" s="2"/>
      <c r="AD27" s="2"/>
    </row>
    <row r="28" spans="1:30" x14ac:dyDescent="0.3">
      <c r="A28" s="2"/>
      <c r="B28" s="2"/>
      <c r="C28" s="2"/>
      <c r="D28" s="3"/>
      <c r="E28" s="2"/>
      <c r="F28" s="2"/>
      <c r="G28" s="2"/>
      <c r="H28" s="2"/>
      <c r="I28" s="2"/>
      <c r="J28" s="2"/>
      <c r="K28" s="2"/>
      <c r="L28" s="2"/>
      <c r="M28" s="2"/>
      <c r="N28" s="2"/>
      <c r="O28" s="2"/>
      <c r="P28" s="2"/>
      <c r="Q28" s="2"/>
      <c r="R28" s="2"/>
      <c r="S28" s="2"/>
      <c r="T28" s="2"/>
      <c r="U28" s="2"/>
      <c r="V28" s="2"/>
      <c r="W28" s="2"/>
      <c r="X28" s="2"/>
      <c r="Y28" s="2"/>
      <c r="Z28" s="2"/>
      <c r="AA28" s="2"/>
      <c r="AB28" s="2"/>
      <c r="AC28" s="2"/>
      <c r="AD28" s="2"/>
    </row>
    <row r="29" spans="1:30" x14ac:dyDescent="0.3">
      <c r="A29" s="2"/>
      <c r="B29" s="2"/>
      <c r="C29" s="2"/>
      <c r="D29" s="3"/>
      <c r="E29" s="2"/>
      <c r="F29" s="2"/>
      <c r="G29" s="2"/>
      <c r="H29" s="2"/>
      <c r="I29" s="2"/>
      <c r="J29" s="2"/>
      <c r="K29" s="2"/>
      <c r="L29" s="2"/>
      <c r="M29" s="2"/>
      <c r="N29" s="2"/>
      <c r="O29" s="2"/>
      <c r="P29" s="2"/>
      <c r="Q29" s="2"/>
      <c r="R29" s="2"/>
      <c r="S29" s="2"/>
      <c r="T29" s="2"/>
      <c r="U29" s="2"/>
      <c r="V29" s="2"/>
      <c r="W29" s="2"/>
      <c r="X29" s="2"/>
      <c r="Y29" s="2"/>
      <c r="Z29" s="2"/>
      <c r="AA29" s="2"/>
      <c r="AB29" s="2"/>
      <c r="AC29" s="2"/>
      <c r="AD29" s="2"/>
    </row>
    <row r="30" spans="1:30" x14ac:dyDescent="0.3">
      <c r="A30" s="2"/>
      <c r="B30" s="2"/>
      <c r="C30" s="2"/>
      <c r="D30" s="3"/>
      <c r="E30" s="2"/>
      <c r="F30" s="2"/>
      <c r="G30" s="2"/>
      <c r="H30" s="2"/>
      <c r="I30" s="2"/>
      <c r="J30" s="2"/>
      <c r="K30" s="2"/>
      <c r="L30" s="2"/>
      <c r="M30" s="2"/>
      <c r="N30" s="2"/>
      <c r="O30" s="2"/>
      <c r="P30" s="2"/>
      <c r="Q30" s="2"/>
      <c r="R30" s="2"/>
      <c r="S30" s="2"/>
      <c r="T30" s="2"/>
      <c r="U30" s="2"/>
      <c r="V30" s="2"/>
      <c r="W30" s="2"/>
      <c r="X30" s="2"/>
      <c r="Y30" s="2"/>
      <c r="Z30" s="2"/>
      <c r="AA30" s="2"/>
      <c r="AB30" s="2"/>
      <c r="AC30" s="2"/>
      <c r="AD30" s="2"/>
    </row>
    <row r="31" spans="1:30" x14ac:dyDescent="0.3">
      <c r="A31" s="2"/>
      <c r="B31" s="2"/>
      <c r="C31" s="2"/>
      <c r="D31" s="3"/>
      <c r="E31" s="2"/>
      <c r="F31" s="2"/>
      <c r="G31" s="2"/>
      <c r="H31" s="2"/>
      <c r="I31" s="2"/>
      <c r="J31" s="2"/>
      <c r="K31" s="2"/>
      <c r="L31" s="2"/>
      <c r="M31" s="2"/>
      <c r="N31" s="2"/>
      <c r="O31" s="2"/>
      <c r="P31" s="2"/>
      <c r="Q31" s="2"/>
      <c r="R31" s="2"/>
      <c r="S31" s="2"/>
      <c r="T31" s="2"/>
      <c r="U31" s="2"/>
      <c r="V31" s="2"/>
      <c r="W31" s="2"/>
      <c r="X31" s="2"/>
      <c r="Y31" s="2"/>
      <c r="Z31" s="2"/>
      <c r="AA31" s="2"/>
      <c r="AB31" s="2"/>
      <c r="AC31" s="2"/>
      <c r="AD31" s="2"/>
    </row>
    <row r="32" spans="1:30" x14ac:dyDescent="0.3">
      <c r="A32" s="2"/>
      <c r="B32" s="2"/>
      <c r="C32" s="2"/>
      <c r="D32" s="3"/>
      <c r="E32" s="2"/>
      <c r="F32" s="2"/>
      <c r="G32" s="2"/>
      <c r="H32" s="2"/>
      <c r="I32" s="2"/>
      <c r="J32" s="2"/>
      <c r="K32" s="2"/>
      <c r="L32" s="2"/>
      <c r="M32" s="2"/>
      <c r="N32" s="2"/>
      <c r="O32" s="2"/>
      <c r="P32" s="2"/>
      <c r="Q32" s="2"/>
      <c r="R32" s="2"/>
      <c r="S32" s="2"/>
      <c r="T32" s="2"/>
      <c r="U32" s="2"/>
      <c r="V32" s="2"/>
      <c r="W32" s="2"/>
      <c r="X32" s="2"/>
      <c r="Y32" s="2"/>
      <c r="Z32" s="2"/>
      <c r="AA32" s="2"/>
      <c r="AB32" s="2"/>
      <c r="AC32" s="2"/>
      <c r="AD32" s="2"/>
    </row>
    <row r="33" spans="1:30" x14ac:dyDescent="0.3">
      <c r="A33" s="2"/>
      <c r="B33" s="2"/>
      <c r="C33" s="2"/>
      <c r="D33" s="3"/>
      <c r="E33" s="2"/>
      <c r="F33" s="2"/>
      <c r="G33" s="2"/>
      <c r="H33" s="2"/>
      <c r="I33" s="2"/>
      <c r="J33" s="2"/>
      <c r="K33" s="2"/>
      <c r="L33" s="2"/>
      <c r="M33" s="2"/>
      <c r="N33" s="2"/>
      <c r="O33" s="2"/>
      <c r="P33" s="2"/>
      <c r="Q33" s="2"/>
      <c r="R33" s="2"/>
      <c r="S33" s="2"/>
      <c r="T33" s="2"/>
      <c r="U33" s="2"/>
      <c r="V33" s="2"/>
      <c r="W33" s="2"/>
      <c r="X33" s="2"/>
      <c r="Y33" s="2"/>
      <c r="Z33" s="2"/>
      <c r="AA33" s="2"/>
      <c r="AB33" s="2"/>
      <c r="AC33" s="2"/>
      <c r="AD33" s="2"/>
    </row>
    <row r="34" spans="1:30" x14ac:dyDescent="0.3">
      <c r="A34" s="2"/>
      <c r="B34" s="2"/>
      <c r="C34" s="2"/>
      <c r="D34" s="3"/>
      <c r="E34" s="2"/>
      <c r="F34" s="2"/>
      <c r="G34" s="2"/>
      <c r="H34" s="2"/>
      <c r="I34" s="2"/>
      <c r="J34" s="2"/>
      <c r="K34" s="2"/>
      <c r="L34" s="2"/>
      <c r="M34" s="2"/>
      <c r="N34" s="2"/>
      <c r="O34" s="2"/>
      <c r="P34" s="2"/>
      <c r="Q34" s="2"/>
      <c r="R34" s="2"/>
      <c r="S34" s="2"/>
      <c r="T34" s="2"/>
      <c r="U34" s="2"/>
      <c r="V34" s="2"/>
      <c r="W34" s="2"/>
      <c r="X34" s="2"/>
      <c r="Y34" s="2"/>
      <c r="Z34" s="2"/>
      <c r="AA34" s="2"/>
      <c r="AB34" s="2"/>
      <c r="AC34" s="2"/>
      <c r="AD34" s="2"/>
    </row>
    <row r="35" spans="1:30" x14ac:dyDescent="0.3">
      <c r="A35" s="2"/>
      <c r="B35" s="2"/>
      <c r="C35" s="2"/>
      <c r="D35" s="3"/>
      <c r="E35" s="2"/>
      <c r="F35" s="2"/>
      <c r="G35" s="2"/>
      <c r="H35" s="2"/>
      <c r="I35" s="2"/>
      <c r="J35" s="2"/>
      <c r="K35" s="2"/>
      <c r="L35" s="2"/>
      <c r="M35" s="2"/>
      <c r="N35" s="2"/>
      <c r="O35" s="2"/>
      <c r="P35" s="2"/>
      <c r="Q35" s="2"/>
      <c r="R35" s="2"/>
      <c r="S35" s="2"/>
      <c r="T35" s="2"/>
      <c r="U35" s="2"/>
      <c r="V35" s="2"/>
      <c r="W35" s="2"/>
      <c r="X35" s="2"/>
      <c r="Y35" s="2"/>
      <c r="Z35" s="2"/>
      <c r="AA35" s="2"/>
      <c r="AB35" s="2"/>
      <c r="AC35" s="2"/>
      <c r="AD35" s="2"/>
    </row>
    <row r="36" spans="1:30" x14ac:dyDescent="0.3">
      <c r="A36" s="2"/>
      <c r="B36" s="2"/>
      <c r="C36" s="2"/>
      <c r="D36" s="3"/>
      <c r="E36" s="2"/>
      <c r="F36" s="2"/>
      <c r="G36" s="2"/>
      <c r="H36" s="2"/>
      <c r="I36" s="2"/>
      <c r="J36" s="2"/>
      <c r="K36" s="2"/>
      <c r="L36" s="2"/>
      <c r="M36" s="2"/>
      <c r="N36" s="2"/>
      <c r="O36" s="2"/>
      <c r="P36" s="2"/>
      <c r="Q36" s="2"/>
      <c r="R36" s="2"/>
      <c r="S36" s="2"/>
      <c r="T36" s="2"/>
      <c r="U36" s="2"/>
      <c r="V36" s="2"/>
      <c r="W36" s="2"/>
      <c r="X36" s="2"/>
      <c r="Y36" s="2"/>
      <c r="Z36" s="2"/>
      <c r="AA36" s="2"/>
      <c r="AB36" s="2"/>
      <c r="AC36" s="2"/>
      <c r="AD36" s="2"/>
    </row>
    <row r="37" spans="1:30" x14ac:dyDescent="0.3">
      <c r="A37" s="2"/>
      <c r="B37" s="2"/>
      <c r="C37" s="2"/>
      <c r="D37" s="3"/>
      <c r="E37" s="2"/>
      <c r="F37" s="2"/>
      <c r="G37" s="2"/>
      <c r="H37" s="2"/>
      <c r="I37" s="2"/>
      <c r="J37" s="2"/>
      <c r="K37" s="2"/>
      <c r="L37" s="2"/>
      <c r="M37" s="2"/>
      <c r="N37" s="2"/>
      <c r="O37" s="2"/>
      <c r="P37" s="2"/>
      <c r="Q37" s="2"/>
      <c r="R37" s="2"/>
      <c r="S37" s="2"/>
      <c r="T37" s="2"/>
      <c r="U37" s="2"/>
      <c r="V37" s="2"/>
      <c r="W37" s="2"/>
      <c r="X37" s="2"/>
      <c r="Y37" s="2"/>
      <c r="Z37" s="2"/>
      <c r="AA37" s="2"/>
      <c r="AB37" s="2"/>
      <c r="AC37" s="2"/>
      <c r="AD37" s="2"/>
    </row>
    <row r="38" spans="1:30" x14ac:dyDescent="0.3">
      <c r="A38" s="2"/>
      <c r="B38" s="2"/>
      <c r="C38" s="2"/>
      <c r="D38" s="3"/>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x14ac:dyDescent="0.3">
      <c r="A39" s="2"/>
      <c r="B39" s="2"/>
      <c r="C39" s="2"/>
      <c r="D39" s="3"/>
      <c r="E39" s="2"/>
      <c r="F39" s="2"/>
      <c r="G39" s="2"/>
      <c r="H39" s="2"/>
      <c r="I39" s="2"/>
      <c r="J39" s="2"/>
      <c r="K39" s="2"/>
      <c r="L39" s="2"/>
      <c r="M39" s="2"/>
      <c r="N39" s="2"/>
      <c r="O39" s="2"/>
      <c r="P39" s="2"/>
      <c r="Q39" s="2"/>
      <c r="R39" s="2"/>
      <c r="S39" s="2"/>
      <c r="T39" s="2"/>
      <c r="U39" s="2"/>
      <c r="V39" s="2"/>
      <c r="W39" s="2"/>
      <c r="X39" s="2"/>
      <c r="Y39" s="2"/>
      <c r="Z39" s="2"/>
      <c r="AA39" s="2"/>
      <c r="AB39" s="2"/>
      <c r="AC39" s="2"/>
      <c r="AD39" s="2"/>
    </row>
    <row r="40" spans="1:30" x14ac:dyDescent="0.3">
      <c r="A40" s="2"/>
      <c r="B40" s="2"/>
      <c r="C40" s="2"/>
      <c r="D40" s="3"/>
      <c r="E40" s="2"/>
      <c r="F40" s="2"/>
      <c r="G40" s="2"/>
      <c r="H40" s="2"/>
      <c r="I40" s="2"/>
      <c r="J40" s="2"/>
      <c r="K40" s="2"/>
      <c r="L40" s="2"/>
      <c r="M40" s="2"/>
      <c r="N40" s="2"/>
      <c r="O40" s="2"/>
      <c r="P40" s="2"/>
      <c r="Q40" s="2"/>
      <c r="R40" s="2"/>
      <c r="S40" s="2"/>
      <c r="T40" s="2"/>
      <c r="U40" s="2"/>
      <c r="V40" s="2"/>
      <c r="W40" s="2"/>
      <c r="X40" s="2"/>
      <c r="Y40" s="2"/>
      <c r="Z40" s="2"/>
      <c r="AA40" s="2"/>
      <c r="AB40" s="2"/>
      <c r="AC40" s="2"/>
      <c r="AD40" s="2"/>
    </row>
    <row r="41" spans="1:30" x14ac:dyDescent="0.3">
      <c r="A41" s="2"/>
      <c r="B41" s="2"/>
      <c r="C41" s="2"/>
      <c r="D41" s="3"/>
      <c r="E41" s="2"/>
      <c r="F41" s="2"/>
      <c r="G41" s="2"/>
      <c r="H41" s="2"/>
      <c r="I41" s="2"/>
      <c r="J41" s="2"/>
      <c r="K41" s="2"/>
      <c r="L41" s="2"/>
      <c r="M41" s="2"/>
      <c r="N41" s="2"/>
      <c r="O41" s="2"/>
      <c r="P41" s="2"/>
      <c r="Q41" s="2"/>
      <c r="R41" s="2"/>
      <c r="S41" s="2"/>
      <c r="T41" s="2"/>
      <c r="U41" s="2"/>
      <c r="V41" s="2"/>
      <c r="W41" s="2"/>
      <c r="X41" s="2"/>
      <c r="Y41" s="2"/>
      <c r="Z41" s="2"/>
      <c r="AA41" s="2"/>
      <c r="AB41" s="2"/>
      <c r="AC41" s="2"/>
      <c r="AD41" s="2"/>
    </row>
    <row r="42" spans="1:30" x14ac:dyDescent="0.3">
      <c r="A42" s="2"/>
      <c r="B42" s="2"/>
      <c r="C42" s="2"/>
      <c r="D42" s="3"/>
      <c r="E42" s="2"/>
      <c r="F42" s="2"/>
      <c r="G42" s="2"/>
      <c r="H42" s="2"/>
      <c r="I42" s="2"/>
      <c r="J42" s="2"/>
      <c r="K42" s="2"/>
      <c r="L42" s="2"/>
      <c r="M42" s="2"/>
      <c r="N42" s="2"/>
      <c r="O42" s="2"/>
      <c r="P42" s="2"/>
      <c r="Q42" s="2"/>
      <c r="R42" s="2"/>
      <c r="S42" s="2"/>
      <c r="T42" s="2"/>
      <c r="U42" s="2"/>
      <c r="V42" s="2"/>
      <c r="W42" s="2"/>
      <c r="X42" s="2"/>
      <c r="Y42" s="2"/>
      <c r="Z42" s="2"/>
      <c r="AA42" s="2"/>
      <c r="AB42" s="2"/>
      <c r="AC42" s="2"/>
      <c r="AD42" s="2"/>
    </row>
    <row r="43" spans="1:30" x14ac:dyDescent="0.3">
      <c r="A43" s="2"/>
      <c r="B43" s="2"/>
      <c r="C43" s="2"/>
      <c r="D43" s="3"/>
      <c r="E43" s="2"/>
      <c r="F43" s="2"/>
      <c r="G43" s="2"/>
      <c r="H43" s="2"/>
      <c r="I43" s="2"/>
      <c r="J43" s="2"/>
      <c r="K43" s="2"/>
      <c r="L43" s="2"/>
      <c r="M43" s="2"/>
      <c r="N43" s="2"/>
      <c r="O43" s="2"/>
      <c r="P43" s="2"/>
      <c r="Q43" s="2"/>
      <c r="R43" s="2"/>
      <c r="S43" s="2"/>
      <c r="T43" s="2"/>
      <c r="U43" s="2"/>
      <c r="V43" s="2"/>
      <c r="W43" s="2"/>
      <c r="X43" s="2"/>
      <c r="Y43" s="2"/>
      <c r="Z43" s="2"/>
      <c r="AA43" s="2"/>
      <c r="AB43" s="2"/>
      <c r="AC43" s="2"/>
      <c r="AD43" s="2"/>
    </row>
    <row r="44" spans="1:30" x14ac:dyDescent="0.3">
      <c r="A44" s="2"/>
      <c r="B44" s="2"/>
      <c r="C44" s="2"/>
      <c r="D44" s="3"/>
      <c r="E44" s="2"/>
      <c r="F44" s="2"/>
      <c r="G44" s="2"/>
      <c r="H44" s="2"/>
      <c r="I44" s="2"/>
      <c r="J44" s="2"/>
      <c r="K44" s="2"/>
      <c r="L44" s="2"/>
      <c r="M44" s="2"/>
      <c r="N44" s="2"/>
      <c r="O44" s="2"/>
      <c r="P44" s="2"/>
      <c r="Q44" s="2"/>
      <c r="R44" s="2"/>
      <c r="S44" s="2"/>
      <c r="T44" s="2"/>
      <c r="U44" s="2"/>
      <c r="V44" s="2"/>
      <c r="W44" s="2"/>
      <c r="X44" s="2"/>
      <c r="Y44" s="2"/>
      <c r="Z44" s="2"/>
      <c r="AA44" s="2"/>
      <c r="AB44" s="2"/>
      <c r="AC44" s="2"/>
      <c r="AD44" s="2"/>
    </row>
    <row r="45" spans="1:30" x14ac:dyDescent="0.3">
      <c r="A45" s="2"/>
      <c r="B45" s="2"/>
      <c r="C45" s="2"/>
      <c r="D45" s="3"/>
      <c r="E45" s="2"/>
      <c r="F45" s="2"/>
      <c r="G45" s="2"/>
      <c r="H45" s="2"/>
      <c r="I45" s="2"/>
      <c r="J45" s="2"/>
      <c r="K45" s="2"/>
      <c r="L45" s="2"/>
      <c r="M45" s="2"/>
      <c r="N45" s="2"/>
      <c r="O45" s="2"/>
      <c r="P45" s="2"/>
      <c r="Q45" s="2"/>
      <c r="R45" s="2"/>
      <c r="S45" s="2"/>
      <c r="T45" s="2"/>
      <c r="U45" s="2"/>
      <c r="V45" s="2"/>
      <c r="W45" s="2"/>
      <c r="X45" s="2"/>
      <c r="Y45" s="2"/>
      <c r="Z45" s="2"/>
      <c r="AA45" s="2"/>
      <c r="AB45" s="2"/>
      <c r="AC45" s="2"/>
      <c r="AD45" s="2"/>
    </row>
    <row r="46" spans="1:30" x14ac:dyDescent="0.3">
      <c r="A46" s="2"/>
      <c r="B46" s="2"/>
      <c r="C46" s="2"/>
      <c r="D46" s="3"/>
      <c r="E46" s="2"/>
      <c r="F46" s="2"/>
      <c r="G46" s="2"/>
      <c r="H46" s="2"/>
      <c r="I46" s="2"/>
      <c r="J46" s="2"/>
      <c r="K46" s="2"/>
      <c r="L46" s="2"/>
      <c r="M46" s="2"/>
      <c r="N46" s="2"/>
      <c r="O46" s="2"/>
      <c r="P46" s="2"/>
      <c r="Q46" s="2"/>
      <c r="R46" s="2"/>
      <c r="S46" s="2"/>
      <c r="T46" s="2"/>
      <c r="U46" s="2"/>
      <c r="V46" s="2"/>
      <c r="W46" s="2"/>
      <c r="X46" s="2"/>
      <c r="Y46" s="2"/>
      <c r="Z46" s="2"/>
      <c r="AA46" s="2"/>
      <c r="AB46" s="2"/>
      <c r="AC46" s="2"/>
      <c r="AD46" s="2"/>
    </row>
    <row r="47" spans="1:30" x14ac:dyDescent="0.3">
      <c r="A47" s="2"/>
      <c r="B47" s="2"/>
      <c r="C47" s="2"/>
      <c r="D47" s="3"/>
      <c r="E47" s="2"/>
      <c r="F47" s="2"/>
      <c r="G47" s="2"/>
      <c r="H47" s="2"/>
      <c r="I47" s="2"/>
      <c r="J47" s="2"/>
      <c r="K47" s="2"/>
      <c r="L47" s="2"/>
      <c r="M47" s="2"/>
      <c r="N47" s="2"/>
      <c r="O47" s="2"/>
      <c r="P47" s="2"/>
      <c r="Q47" s="2"/>
      <c r="R47" s="2"/>
      <c r="S47" s="2"/>
      <c r="T47" s="2"/>
      <c r="U47" s="2"/>
      <c r="V47" s="2"/>
      <c r="W47" s="2"/>
      <c r="X47" s="2"/>
      <c r="Y47" s="2"/>
      <c r="Z47" s="2"/>
      <c r="AA47" s="2"/>
      <c r="AB47" s="2"/>
      <c r="AC47" s="2"/>
      <c r="AD47" s="2"/>
    </row>
    <row r="48" spans="1:30" x14ac:dyDescent="0.3">
      <c r="A48" s="2"/>
      <c r="B48" s="2"/>
      <c r="C48" s="2"/>
      <c r="D48" s="3"/>
      <c r="E48" s="2"/>
      <c r="F48" s="2"/>
      <c r="G48" s="2"/>
      <c r="H48" s="2"/>
      <c r="I48" s="2"/>
      <c r="J48" s="2"/>
      <c r="K48" s="2"/>
      <c r="L48" s="2"/>
      <c r="M48" s="2"/>
      <c r="N48" s="2"/>
      <c r="O48" s="2"/>
      <c r="P48" s="2"/>
      <c r="Q48" s="2"/>
      <c r="R48" s="2"/>
      <c r="S48" s="2"/>
      <c r="T48" s="2"/>
      <c r="U48" s="2"/>
      <c r="V48" s="2"/>
      <c r="W48" s="2"/>
      <c r="X48" s="2"/>
      <c r="Y48" s="2"/>
      <c r="Z48" s="2"/>
      <c r="AA48" s="2"/>
      <c r="AB48" s="2"/>
      <c r="AC48" s="2"/>
      <c r="AD48" s="2"/>
    </row>
    <row r="49" spans="1:30" x14ac:dyDescent="0.3">
      <c r="A49" s="2"/>
      <c r="B49" s="2"/>
      <c r="C49" s="2"/>
      <c r="D49" s="3"/>
      <c r="E49" s="2"/>
      <c r="F49" s="2"/>
      <c r="G49" s="2"/>
      <c r="H49" s="2"/>
      <c r="I49" s="2"/>
      <c r="J49" s="2"/>
      <c r="K49" s="2"/>
      <c r="L49" s="2"/>
      <c r="M49" s="2"/>
      <c r="N49" s="2"/>
      <c r="O49" s="2"/>
      <c r="P49" s="2"/>
      <c r="Q49" s="2"/>
      <c r="R49" s="2"/>
      <c r="S49" s="2"/>
      <c r="T49" s="2"/>
      <c r="U49" s="2"/>
      <c r="V49" s="2"/>
      <c r="W49" s="2"/>
      <c r="X49" s="2"/>
      <c r="Y49" s="2"/>
      <c r="Z49" s="2"/>
      <c r="AA49" s="2"/>
      <c r="AB49" s="2"/>
      <c r="AC49" s="2"/>
      <c r="AD49" s="2"/>
    </row>
    <row r="50" spans="1:30" x14ac:dyDescent="0.3">
      <c r="A50" s="2"/>
      <c r="B50" s="2"/>
      <c r="C50" s="2"/>
      <c r="D50" s="3"/>
      <c r="E50" s="2"/>
      <c r="F50" s="2"/>
      <c r="G50" s="2"/>
      <c r="H50" s="2"/>
      <c r="I50" s="2"/>
      <c r="J50" s="2"/>
      <c r="K50" s="2"/>
      <c r="L50" s="2"/>
      <c r="M50" s="2"/>
      <c r="N50" s="2"/>
      <c r="O50" s="2"/>
      <c r="P50" s="2"/>
      <c r="Q50" s="2"/>
      <c r="R50" s="2"/>
      <c r="S50" s="2"/>
      <c r="T50" s="2"/>
      <c r="U50" s="2"/>
      <c r="V50" s="2"/>
      <c r="W50" s="2"/>
      <c r="X50" s="2"/>
      <c r="Y50" s="2"/>
      <c r="Z50" s="2"/>
      <c r="AA50" s="2"/>
      <c r="AB50" s="2"/>
      <c r="AC50" s="2"/>
      <c r="AD50" s="2"/>
    </row>
    <row r="51" spans="1:30" x14ac:dyDescent="0.3">
      <c r="A51" s="2"/>
      <c r="B51" s="2"/>
      <c r="C51" s="2"/>
      <c r="D51" s="3"/>
      <c r="E51" s="2"/>
      <c r="F51" s="2"/>
      <c r="G51" s="2"/>
      <c r="H51" s="2"/>
      <c r="I51" s="2"/>
      <c r="J51" s="2"/>
      <c r="K51" s="2"/>
      <c r="L51" s="2"/>
      <c r="M51" s="2"/>
      <c r="N51" s="2"/>
      <c r="O51" s="2"/>
      <c r="P51" s="2"/>
      <c r="Q51" s="2"/>
      <c r="R51" s="2"/>
      <c r="S51" s="2"/>
      <c r="T51" s="2"/>
      <c r="U51" s="2"/>
      <c r="V51" s="2"/>
      <c r="W51" s="2"/>
      <c r="X51" s="2"/>
      <c r="Y51" s="2"/>
      <c r="Z51" s="2"/>
      <c r="AA51" s="2"/>
      <c r="AB51" s="2"/>
      <c r="AC51" s="2"/>
      <c r="AD51" s="2"/>
    </row>
    <row r="52" spans="1:30" x14ac:dyDescent="0.3">
      <c r="A52" s="2"/>
      <c r="B52" s="2"/>
      <c r="C52" s="2"/>
      <c r="D52" s="3"/>
      <c r="E52" s="2"/>
      <c r="F52" s="2"/>
      <c r="G52" s="2"/>
      <c r="H52" s="2"/>
      <c r="I52" s="2"/>
      <c r="J52" s="2"/>
      <c r="K52" s="2"/>
      <c r="L52" s="2"/>
      <c r="M52" s="2"/>
      <c r="N52" s="2"/>
      <c r="O52" s="2"/>
      <c r="P52" s="2"/>
      <c r="Q52" s="2"/>
      <c r="R52" s="2"/>
      <c r="S52" s="2"/>
      <c r="T52" s="2"/>
      <c r="U52" s="2"/>
      <c r="V52" s="2"/>
      <c r="W52" s="2"/>
      <c r="X52" s="2"/>
      <c r="Y52" s="2"/>
      <c r="Z52" s="2"/>
      <c r="AA52" s="2"/>
      <c r="AB52" s="2"/>
      <c r="AC52" s="2"/>
      <c r="AD52" s="2"/>
    </row>
    <row r="53" spans="1:30" x14ac:dyDescent="0.3">
      <c r="A53" s="2"/>
      <c r="B53" s="2"/>
      <c r="C53" s="2"/>
      <c r="D53" s="3"/>
      <c r="E53" s="2"/>
      <c r="F53" s="2"/>
      <c r="G53" s="2"/>
      <c r="H53" s="2"/>
      <c r="I53" s="2"/>
      <c r="J53" s="2"/>
      <c r="K53" s="2"/>
      <c r="L53" s="2"/>
      <c r="M53" s="2"/>
      <c r="N53" s="2"/>
      <c r="O53" s="2"/>
      <c r="P53" s="2"/>
      <c r="Q53" s="2"/>
      <c r="R53" s="2"/>
      <c r="S53" s="2"/>
      <c r="T53" s="2"/>
      <c r="U53" s="2"/>
      <c r="V53" s="2"/>
      <c r="W53" s="2"/>
      <c r="X53" s="2"/>
      <c r="Y53" s="2"/>
      <c r="Z53" s="2"/>
      <c r="AA53" s="2"/>
      <c r="AB53" s="2"/>
      <c r="AC53" s="2"/>
      <c r="AD53" s="2"/>
    </row>
    <row r="54" spans="1:30" x14ac:dyDescent="0.3">
      <c r="A54" s="2"/>
      <c r="B54" s="2"/>
      <c r="C54" s="2"/>
      <c r="D54" s="3"/>
      <c r="E54" s="2"/>
      <c r="F54" s="2"/>
      <c r="G54" s="2"/>
      <c r="H54" s="2"/>
      <c r="I54" s="2"/>
      <c r="J54" s="2"/>
      <c r="K54" s="2"/>
      <c r="L54" s="2"/>
      <c r="M54" s="2"/>
      <c r="N54" s="2"/>
      <c r="O54" s="2"/>
      <c r="P54" s="2"/>
      <c r="Q54" s="2"/>
      <c r="R54" s="2"/>
      <c r="S54" s="2"/>
      <c r="T54" s="2"/>
      <c r="U54" s="2"/>
      <c r="V54" s="2"/>
      <c r="W54" s="2"/>
      <c r="X54" s="2"/>
      <c r="Y54" s="2"/>
      <c r="Z54" s="2"/>
      <c r="AA54" s="2"/>
      <c r="AB54" s="2"/>
      <c r="AC54" s="2"/>
      <c r="AD54" s="2"/>
    </row>
    <row r="55" spans="1:30" x14ac:dyDescent="0.3">
      <c r="A55" s="2"/>
      <c r="B55" s="2"/>
      <c r="C55" s="2"/>
      <c r="D55" s="3"/>
      <c r="E55" s="2"/>
      <c r="F55" s="2"/>
      <c r="G55" s="2"/>
      <c r="H55" s="2"/>
      <c r="I55" s="2"/>
      <c r="J55" s="2"/>
      <c r="K55" s="2"/>
      <c r="L55" s="2"/>
      <c r="M55" s="2"/>
      <c r="N55" s="2"/>
      <c r="O55" s="2"/>
      <c r="P55" s="2"/>
      <c r="Q55" s="2"/>
      <c r="R55" s="2"/>
      <c r="S55" s="2"/>
      <c r="T55" s="2"/>
      <c r="U55" s="2"/>
      <c r="V55" s="2"/>
      <c r="W55" s="2"/>
      <c r="X55" s="2"/>
      <c r="Y55" s="2"/>
      <c r="Z55" s="2"/>
      <c r="AA55" s="2"/>
      <c r="AB55" s="2"/>
      <c r="AC55" s="2"/>
      <c r="AD55" s="2"/>
    </row>
    <row r="56" spans="1:30" x14ac:dyDescent="0.3">
      <c r="A56" s="2"/>
      <c r="B56" s="2"/>
      <c r="C56" s="2"/>
      <c r="D56" s="3"/>
      <c r="E56" s="2"/>
      <c r="F56" s="2"/>
      <c r="G56" s="2"/>
      <c r="H56" s="2"/>
      <c r="I56" s="2"/>
      <c r="J56" s="2"/>
      <c r="K56" s="2"/>
      <c r="L56" s="2"/>
      <c r="M56" s="2"/>
      <c r="N56" s="2"/>
      <c r="O56" s="2"/>
      <c r="P56" s="2"/>
      <c r="Q56" s="2"/>
      <c r="R56" s="2"/>
      <c r="S56" s="2"/>
      <c r="T56" s="2"/>
      <c r="U56" s="2"/>
      <c r="V56" s="2"/>
      <c r="W56" s="2"/>
      <c r="X56" s="2"/>
      <c r="Y56" s="2"/>
      <c r="Z56" s="2"/>
      <c r="AA56" s="2"/>
      <c r="AB56" s="2"/>
      <c r="AC56" s="2"/>
      <c r="AD56" s="2"/>
    </row>
    <row r="57" spans="1:30" x14ac:dyDescent="0.3">
      <c r="A57" s="2"/>
      <c r="B57" s="2"/>
      <c r="C57" s="2"/>
      <c r="D57" s="3"/>
      <c r="E57" s="2"/>
      <c r="F57" s="2"/>
      <c r="G57" s="2"/>
      <c r="H57" s="2"/>
      <c r="I57" s="2"/>
      <c r="J57" s="2"/>
      <c r="K57" s="2"/>
      <c r="L57" s="2"/>
      <c r="M57" s="2"/>
      <c r="N57" s="2"/>
      <c r="O57" s="2"/>
      <c r="P57" s="2"/>
      <c r="Q57" s="2"/>
      <c r="R57" s="2"/>
      <c r="S57" s="2"/>
      <c r="T57" s="2"/>
      <c r="U57" s="2"/>
      <c r="V57" s="2"/>
      <c r="W57" s="2"/>
      <c r="X57" s="2"/>
      <c r="Y57" s="2"/>
      <c r="Z57" s="2"/>
      <c r="AA57" s="2"/>
      <c r="AB57" s="2"/>
      <c r="AC57" s="2"/>
      <c r="AD57" s="2"/>
    </row>
    <row r="58" spans="1:30" x14ac:dyDescent="0.3">
      <c r="A58" s="2"/>
      <c r="B58" s="2"/>
      <c r="C58" s="2"/>
      <c r="D58" s="3"/>
      <c r="E58" s="2"/>
      <c r="F58" s="2"/>
      <c r="G58" s="2"/>
      <c r="H58" s="2"/>
      <c r="I58" s="2"/>
      <c r="J58" s="2"/>
      <c r="K58" s="2"/>
      <c r="L58" s="2"/>
      <c r="M58" s="2"/>
      <c r="N58" s="2"/>
      <c r="O58" s="2"/>
      <c r="P58" s="2"/>
      <c r="Q58" s="2"/>
      <c r="R58" s="2"/>
      <c r="S58" s="2"/>
      <c r="T58" s="2"/>
      <c r="U58" s="2"/>
      <c r="V58" s="2"/>
      <c r="W58" s="2"/>
      <c r="X58" s="2"/>
      <c r="Y58" s="2"/>
      <c r="Z58" s="2"/>
      <c r="AA58" s="2"/>
      <c r="AB58" s="2"/>
      <c r="AC58" s="2"/>
      <c r="AD58" s="2"/>
    </row>
    <row r="59" spans="1:30" x14ac:dyDescent="0.3">
      <c r="A59" s="2"/>
      <c r="B59" s="2"/>
      <c r="C59" s="2"/>
      <c r="D59" s="3"/>
      <c r="E59" s="2"/>
      <c r="F59" s="2"/>
      <c r="G59" s="2"/>
      <c r="H59" s="2"/>
      <c r="I59" s="2"/>
      <c r="J59" s="2"/>
      <c r="K59" s="2"/>
      <c r="L59" s="2"/>
      <c r="M59" s="2"/>
      <c r="N59" s="2"/>
      <c r="O59" s="2"/>
      <c r="P59" s="2"/>
      <c r="Q59" s="2"/>
      <c r="R59" s="2"/>
      <c r="S59" s="2"/>
      <c r="T59" s="2"/>
      <c r="U59" s="2"/>
      <c r="V59" s="2"/>
      <c r="W59" s="2"/>
      <c r="X59" s="2"/>
      <c r="Y59" s="2"/>
      <c r="Z59" s="2"/>
      <c r="AA59" s="2"/>
      <c r="AB59" s="2"/>
      <c r="AC59" s="2"/>
      <c r="AD59" s="2"/>
    </row>
    <row r="60" spans="1:30" x14ac:dyDescent="0.3">
      <c r="A60" s="2"/>
      <c r="B60" s="2"/>
      <c r="C60" s="2"/>
      <c r="D60" s="3"/>
      <c r="E60" s="2"/>
      <c r="F60" s="2"/>
      <c r="G60" s="2"/>
      <c r="H60" s="2"/>
      <c r="I60" s="2"/>
      <c r="J60" s="2"/>
      <c r="K60" s="2"/>
      <c r="L60" s="2"/>
      <c r="M60" s="2"/>
      <c r="N60" s="2"/>
      <c r="O60" s="2"/>
      <c r="P60" s="2"/>
      <c r="Q60" s="2"/>
      <c r="R60" s="2"/>
      <c r="S60" s="2"/>
      <c r="T60" s="2"/>
      <c r="U60" s="2"/>
      <c r="V60" s="2"/>
      <c r="W60" s="2"/>
      <c r="X60" s="2"/>
      <c r="Y60" s="2"/>
      <c r="Z60" s="2"/>
      <c r="AA60" s="2"/>
      <c r="AB60" s="2"/>
      <c r="AC60" s="2"/>
      <c r="AD60" s="2"/>
    </row>
    <row r="61" spans="1:30" x14ac:dyDescent="0.3">
      <c r="A61" s="2"/>
      <c r="B61" s="2"/>
      <c r="C61" s="2"/>
      <c r="D61" s="3"/>
      <c r="E61" s="2"/>
      <c r="F61" s="2"/>
      <c r="G61" s="2"/>
      <c r="H61" s="2"/>
      <c r="I61" s="2"/>
      <c r="J61" s="2"/>
      <c r="K61" s="2"/>
      <c r="L61" s="2"/>
      <c r="M61" s="2"/>
      <c r="N61" s="2"/>
      <c r="O61" s="2"/>
      <c r="P61" s="2"/>
      <c r="Q61" s="2"/>
      <c r="R61" s="2"/>
      <c r="S61" s="2"/>
      <c r="T61" s="2"/>
      <c r="U61" s="2"/>
      <c r="V61" s="2"/>
      <c r="W61" s="2"/>
      <c r="X61" s="2"/>
      <c r="Y61" s="2"/>
      <c r="Z61" s="2"/>
      <c r="AA61" s="2"/>
      <c r="AB61" s="2"/>
      <c r="AC61" s="2"/>
      <c r="AD61" s="2"/>
    </row>
    <row r="62" spans="1:30" x14ac:dyDescent="0.3">
      <c r="A62" s="2"/>
      <c r="B62" s="2"/>
      <c r="C62" s="2"/>
      <c r="D62" s="3"/>
      <c r="E62" s="2"/>
      <c r="F62" s="2"/>
      <c r="G62" s="2"/>
      <c r="H62" s="2"/>
      <c r="I62" s="2"/>
      <c r="J62" s="2"/>
      <c r="K62" s="2"/>
      <c r="L62" s="2"/>
      <c r="M62" s="2"/>
      <c r="N62" s="2"/>
      <c r="O62" s="2"/>
      <c r="P62" s="2"/>
      <c r="Q62" s="2"/>
      <c r="R62" s="2"/>
      <c r="S62" s="2"/>
      <c r="T62" s="2"/>
      <c r="U62" s="2"/>
      <c r="V62" s="2"/>
      <c r="W62" s="2"/>
      <c r="X62" s="2"/>
      <c r="Y62" s="2"/>
      <c r="Z62" s="2"/>
      <c r="AA62" s="2"/>
      <c r="AB62" s="2"/>
      <c r="AC62" s="2"/>
      <c r="AD62" s="2"/>
    </row>
    <row r="63" spans="1:30" x14ac:dyDescent="0.3">
      <c r="A63" s="2"/>
      <c r="B63" s="2"/>
      <c r="C63" s="2"/>
      <c r="D63" s="3"/>
      <c r="E63" s="2"/>
      <c r="F63" s="2"/>
      <c r="G63" s="2"/>
      <c r="H63" s="2"/>
      <c r="I63" s="2"/>
      <c r="J63" s="2"/>
      <c r="K63" s="2"/>
      <c r="L63" s="2"/>
      <c r="M63" s="2"/>
      <c r="N63" s="2"/>
      <c r="O63" s="2"/>
      <c r="P63" s="2"/>
      <c r="Q63" s="2"/>
      <c r="R63" s="2"/>
      <c r="S63" s="2"/>
      <c r="T63" s="2"/>
      <c r="U63" s="2"/>
      <c r="V63" s="2"/>
      <c r="W63" s="2"/>
      <c r="X63" s="2"/>
      <c r="Y63" s="2"/>
      <c r="Z63" s="2"/>
      <c r="AA63" s="2"/>
      <c r="AB63" s="2"/>
      <c r="AC63" s="2"/>
      <c r="AD63" s="2"/>
    </row>
    <row r="64" spans="1:30" x14ac:dyDescent="0.3">
      <c r="A64" s="2"/>
      <c r="B64" s="2"/>
      <c r="C64" s="2"/>
      <c r="D64" s="3"/>
      <c r="E64" s="2"/>
      <c r="F64" s="2"/>
      <c r="G64" s="2"/>
      <c r="H64" s="2"/>
      <c r="I64" s="2"/>
      <c r="J64" s="2"/>
      <c r="K64" s="2"/>
      <c r="L64" s="2"/>
      <c r="M64" s="2"/>
      <c r="N64" s="2"/>
      <c r="O64" s="2"/>
      <c r="P64" s="2"/>
      <c r="Q64" s="2"/>
      <c r="R64" s="2"/>
      <c r="S64" s="2"/>
      <c r="T64" s="2"/>
      <c r="U64" s="2"/>
      <c r="V64" s="2"/>
      <c r="W64" s="2"/>
      <c r="X64" s="2"/>
      <c r="Y64" s="2"/>
      <c r="Z64" s="2"/>
      <c r="AA64" s="2"/>
      <c r="AB64" s="2"/>
      <c r="AC64" s="2"/>
      <c r="AD64" s="2"/>
    </row>
    <row r="65" spans="1:30" x14ac:dyDescent="0.3">
      <c r="A65" s="2"/>
      <c r="B65" s="2"/>
      <c r="C65" s="2"/>
      <c r="D65" s="3"/>
      <c r="E65" s="2"/>
      <c r="F65" s="2"/>
      <c r="G65" s="2"/>
      <c r="H65" s="2"/>
      <c r="I65" s="2"/>
      <c r="J65" s="2"/>
      <c r="K65" s="2"/>
      <c r="L65" s="2"/>
      <c r="M65" s="2"/>
      <c r="N65" s="2"/>
      <c r="O65" s="2"/>
      <c r="P65" s="2"/>
      <c r="Q65" s="2"/>
      <c r="R65" s="2"/>
      <c r="S65" s="2"/>
      <c r="T65" s="2"/>
      <c r="U65" s="2"/>
      <c r="V65" s="2"/>
      <c r="W65" s="2"/>
      <c r="X65" s="2"/>
      <c r="Y65" s="2"/>
      <c r="Z65" s="2"/>
      <c r="AA65" s="2"/>
      <c r="AB65" s="2"/>
      <c r="AC65" s="2"/>
      <c r="AD65" s="2"/>
    </row>
    <row r="66" spans="1:30" x14ac:dyDescent="0.3">
      <c r="A66" s="2"/>
      <c r="B66" s="2"/>
      <c r="C66" s="2"/>
      <c r="D66" s="3"/>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x14ac:dyDescent="0.3">
      <c r="A67" s="2"/>
      <c r="B67" s="2"/>
      <c r="C67" s="2"/>
      <c r="D67" s="3"/>
      <c r="E67" s="2"/>
      <c r="F67" s="2"/>
      <c r="G67" s="2"/>
      <c r="H67" s="2"/>
      <c r="I67" s="2"/>
      <c r="J67" s="2"/>
      <c r="K67" s="2"/>
      <c r="L67" s="2"/>
      <c r="M67" s="2"/>
      <c r="N67" s="2"/>
      <c r="O67" s="2"/>
      <c r="P67" s="2"/>
      <c r="Q67" s="2"/>
      <c r="R67" s="2"/>
      <c r="S67" s="2"/>
      <c r="T67" s="2"/>
      <c r="U67" s="2"/>
      <c r="V67" s="2"/>
      <c r="W67" s="2"/>
      <c r="X67" s="2"/>
      <c r="Y67" s="2"/>
      <c r="Z67" s="2"/>
      <c r="AA67" s="2"/>
      <c r="AB67" s="2"/>
      <c r="AC67" s="2"/>
      <c r="AD67" s="2"/>
    </row>
    <row r="68" spans="1:30" x14ac:dyDescent="0.3">
      <c r="A68" s="2"/>
      <c r="B68" s="2"/>
      <c r="C68" s="2"/>
      <c r="D68" s="3"/>
      <c r="E68" s="2"/>
      <c r="F68" s="2"/>
      <c r="G68" s="2"/>
      <c r="H68" s="2"/>
      <c r="I68" s="2"/>
      <c r="J68" s="2"/>
      <c r="K68" s="2"/>
      <c r="L68" s="2"/>
      <c r="M68" s="2"/>
      <c r="N68" s="2"/>
      <c r="O68" s="2"/>
      <c r="P68" s="2"/>
      <c r="Q68" s="2"/>
      <c r="R68" s="2"/>
      <c r="S68" s="2"/>
      <c r="T68" s="2"/>
      <c r="U68" s="2"/>
      <c r="V68" s="2"/>
      <c r="W68" s="2"/>
      <c r="X68" s="2"/>
      <c r="Y68" s="2"/>
      <c r="Z68" s="2"/>
      <c r="AA68" s="2"/>
      <c r="AB68" s="2"/>
      <c r="AC68" s="2"/>
      <c r="AD68" s="2"/>
    </row>
    <row r="69" spans="1:30" x14ac:dyDescent="0.3">
      <c r="A69" s="2"/>
      <c r="B69" s="2"/>
      <c r="C69" s="2"/>
      <c r="D69" s="3"/>
      <c r="E69" s="2"/>
      <c r="F69" s="2"/>
      <c r="G69" s="2"/>
      <c r="H69" s="2"/>
      <c r="I69" s="2"/>
      <c r="J69" s="2"/>
      <c r="K69" s="2"/>
      <c r="L69" s="2"/>
      <c r="M69" s="2"/>
      <c r="N69" s="2"/>
      <c r="O69" s="2"/>
      <c r="P69" s="2"/>
      <c r="Q69" s="2"/>
      <c r="R69" s="2"/>
      <c r="S69" s="2"/>
      <c r="T69" s="2"/>
      <c r="U69" s="2"/>
      <c r="V69" s="2"/>
      <c r="W69" s="2"/>
      <c r="X69" s="2"/>
      <c r="Y69" s="2"/>
      <c r="Z69" s="2"/>
      <c r="AA69" s="2"/>
      <c r="AB69" s="2"/>
      <c r="AC69" s="2"/>
      <c r="AD69" s="2"/>
    </row>
    <row r="70" spans="1:30" x14ac:dyDescent="0.3">
      <c r="A70" s="2"/>
      <c r="B70" s="2"/>
      <c r="C70" s="2"/>
      <c r="D70" s="3"/>
      <c r="E70" s="2"/>
      <c r="F70" s="2"/>
      <c r="G70" s="2"/>
      <c r="H70" s="2"/>
      <c r="I70" s="2"/>
      <c r="J70" s="2"/>
      <c r="K70" s="2"/>
      <c r="L70" s="2"/>
      <c r="M70" s="2"/>
      <c r="N70" s="2"/>
      <c r="O70" s="2"/>
      <c r="P70" s="2"/>
      <c r="Q70" s="2"/>
      <c r="R70" s="2"/>
      <c r="S70" s="2"/>
      <c r="T70" s="2"/>
      <c r="U70" s="2"/>
      <c r="V70" s="2"/>
      <c r="W70" s="2"/>
      <c r="X70" s="2"/>
      <c r="Y70" s="2"/>
      <c r="Z70" s="2"/>
      <c r="AA70" s="2"/>
      <c r="AB70" s="2"/>
      <c r="AC70" s="2"/>
      <c r="AD70" s="2"/>
    </row>
    <row r="71" spans="1:30" x14ac:dyDescent="0.3">
      <c r="A71" s="2"/>
      <c r="B71" s="2"/>
      <c r="C71" s="2"/>
      <c r="D71" s="3"/>
      <c r="E71" s="2"/>
      <c r="F71" s="2"/>
      <c r="G71" s="2"/>
      <c r="H71" s="2"/>
      <c r="I71" s="2"/>
      <c r="J71" s="2"/>
      <c r="K71" s="2"/>
      <c r="L71" s="2"/>
      <c r="M71" s="2"/>
      <c r="N71" s="2"/>
      <c r="O71" s="2"/>
      <c r="P71" s="2"/>
      <c r="Q71" s="2"/>
      <c r="R71" s="2"/>
      <c r="S71" s="2"/>
      <c r="T71" s="2"/>
      <c r="U71" s="2"/>
      <c r="V71" s="2"/>
      <c r="W71" s="2"/>
      <c r="X71" s="2"/>
      <c r="Y71" s="2"/>
      <c r="Z71" s="2"/>
      <c r="AA71" s="2"/>
      <c r="AB71" s="2"/>
      <c r="AC71" s="2"/>
      <c r="AD71" s="2"/>
    </row>
    <row r="72" spans="1:30" x14ac:dyDescent="0.3">
      <c r="A72" s="2"/>
      <c r="B72" s="2"/>
      <c r="C72" s="2"/>
      <c r="D72" s="3"/>
      <c r="E72" s="2"/>
      <c r="F72" s="2"/>
      <c r="G72" s="2"/>
      <c r="H72" s="2"/>
      <c r="I72" s="2"/>
      <c r="J72" s="2"/>
      <c r="K72" s="2"/>
      <c r="L72" s="2"/>
      <c r="M72" s="2"/>
      <c r="N72" s="2"/>
      <c r="O72" s="2"/>
      <c r="P72" s="2"/>
      <c r="Q72" s="2"/>
      <c r="R72" s="2"/>
      <c r="S72" s="2"/>
      <c r="T72" s="2"/>
      <c r="U72" s="2"/>
      <c r="V72" s="2"/>
      <c r="W72" s="2"/>
      <c r="X72" s="2"/>
      <c r="Y72" s="2"/>
      <c r="Z72" s="2"/>
      <c r="AA72" s="2"/>
      <c r="AB72" s="2"/>
      <c r="AC72" s="2"/>
      <c r="AD72" s="2"/>
    </row>
    <row r="73" spans="1:30" x14ac:dyDescent="0.3">
      <c r="A73" s="2"/>
      <c r="B73" s="2"/>
      <c r="C73" s="2"/>
      <c r="D73" s="3"/>
      <c r="E73" s="2"/>
      <c r="F73" s="2"/>
      <c r="G73" s="2"/>
      <c r="H73" s="2"/>
      <c r="I73" s="2"/>
      <c r="J73" s="2"/>
      <c r="K73" s="2"/>
      <c r="L73" s="2"/>
      <c r="M73" s="2"/>
      <c r="N73" s="2"/>
      <c r="O73" s="2"/>
      <c r="P73" s="2"/>
      <c r="Q73" s="2"/>
      <c r="R73" s="2"/>
      <c r="S73" s="2"/>
      <c r="T73" s="2"/>
      <c r="U73" s="2"/>
      <c r="V73" s="2"/>
      <c r="W73" s="2"/>
      <c r="X73" s="2"/>
      <c r="Y73" s="2"/>
      <c r="Z73" s="2"/>
      <c r="AA73" s="2"/>
      <c r="AB73" s="2"/>
      <c r="AC73" s="2"/>
      <c r="AD73" s="2"/>
    </row>
    <row r="74" spans="1:30" x14ac:dyDescent="0.3">
      <c r="A74" s="2"/>
      <c r="B74" s="2"/>
      <c r="C74" s="2"/>
      <c r="D74" s="3"/>
      <c r="E74" s="2"/>
      <c r="F74" s="2"/>
      <c r="G74" s="2"/>
      <c r="H74" s="2"/>
      <c r="I74" s="2"/>
      <c r="J74" s="2"/>
      <c r="K74" s="2"/>
      <c r="L74" s="2"/>
      <c r="M74" s="2"/>
      <c r="N74" s="2"/>
      <c r="O74" s="2"/>
      <c r="P74" s="2"/>
      <c r="Q74" s="2"/>
      <c r="R74" s="2"/>
      <c r="S74" s="2"/>
      <c r="T74" s="2"/>
      <c r="U74" s="2"/>
      <c r="V74" s="2"/>
      <c r="W74" s="2"/>
      <c r="X74" s="2"/>
      <c r="Y74" s="2"/>
      <c r="Z74" s="2"/>
      <c r="AA74" s="2"/>
      <c r="AB74" s="2"/>
      <c r="AC74" s="2"/>
      <c r="AD74" s="2"/>
    </row>
    <row r="75" spans="1:30" x14ac:dyDescent="0.3">
      <c r="A75" s="2"/>
      <c r="B75" s="2"/>
      <c r="C75" s="2"/>
      <c r="D75" s="3"/>
      <c r="E75" s="2"/>
      <c r="F75" s="2"/>
      <c r="G75" s="2"/>
      <c r="H75" s="2"/>
      <c r="I75" s="2"/>
      <c r="J75" s="2"/>
      <c r="K75" s="2"/>
      <c r="L75" s="2"/>
      <c r="M75" s="2"/>
      <c r="N75" s="2"/>
      <c r="O75" s="2"/>
      <c r="P75" s="2"/>
      <c r="Q75" s="2"/>
      <c r="R75" s="2"/>
      <c r="S75" s="2"/>
      <c r="T75" s="2"/>
      <c r="U75" s="2"/>
      <c r="V75" s="2"/>
      <c r="W75" s="2"/>
      <c r="X75" s="2"/>
      <c r="Y75" s="2"/>
      <c r="Z75" s="2"/>
      <c r="AA75" s="2"/>
      <c r="AB75" s="2"/>
      <c r="AC75" s="2"/>
      <c r="AD75" s="2"/>
    </row>
    <row r="76" spans="1:30" x14ac:dyDescent="0.3">
      <c r="A76" s="2"/>
      <c r="B76" s="2"/>
      <c r="C76" s="2"/>
      <c r="D76" s="3"/>
      <c r="E76" s="2"/>
      <c r="F76" s="2"/>
      <c r="G76" s="2"/>
      <c r="H76" s="2"/>
      <c r="I76" s="2"/>
      <c r="J76" s="2"/>
      <c r="K76" s="2"/>
      <c r="L76" s="2"/>
      <c r="M76" s="2"/>
      <c r="N76" s="2"/>
      <c r="O76" s="2"/>
      <c r="P76" s="2"/>
      <c r="Q76" s="2"/>
      <c r="R76" s="2"/>
      <c r="S76" s="2"/>
      <c r="T76" s="2"/>
      <c r="U76" s="2"/>
      <c r="V76" s="2"/>
      <c r="W76" s="2"/>
      <c r="X76" s="2"/>
      <c r="Y76" s="2"/>
      <c r="Z76" s="2"/>
      <c r="AA76" s="2"/>
      <c r="AB76" s="2"/>
      <c r="AC76" s="2"/>
      <c r="AD76" s="2"/>
    </row>
    <row r="77" spans="1:30" x14ac:dyDescent="0.3">
      <c r="A77" s="2"/>
      <c r="B77" s="2"/>
      <c r="C77" s="2"/>
      <c r="D77" s="3"/>
      <c r="E77" s="2"/>
      <c r="F77" s="2"/>
      <c r="G77" s="2"/>
      <c r="H77" s="2"/>
      <c r="I77" s="2"/>
      <c r="J77" s="2"/>
      <c r="K77" s="2"/>
      <c r="L77" s="2"/>
      <c r="M77" s="2"/>
      <c r="N77" s="2"/>
      <c r="O77" s="2"/>
      <c r="P77" s="2"/>
      <c r="Q77" s="2"/>
      <c r="R77" s="2"/>
      <c r="S77" s="2"/>
      <c r="T77" s="2"/>
      <c r="U77" s="2"/>
      <c r="V77" s="2"/>
      <c r="W77" s="2"/>
      <c r="X77" s="2"/>
      <c r="Y77" s="2"/>
      <c r="Z77" s="2"/>
      <c r="AA77" s="2"/>
      <c r="AB77" s="2"/>
      <c r="AC77" s="2"/>
      <c r="AD77" s="2"/>
    </row>
    <row r="78" spans="1:30" x14ac:dyDescent="0.3">
      <c r="A78" s="2"/>
      <c r="B78" s="2"/>
      <c r="C78" s="2"/>
      <c r="D78" s="3"/>
      <c r="E78" s="2"/>
      <c r="F78" s="2"/>
      <c r="G78" s="2"/>
      <c r="H78" s="2"/>
      <c r="I78" s="2"/>
      <c r="J78" s="2"/>
      <c r="K78" s="2"/>
      <c r="L78" s="2"/>
      <c r="M78" s="2"/>
      <c r="N78" s="2"/>
      <c r="O78" s="2"/>
      <c r="P78" s="2"/>
      <c r="Q78" s="2"/>
      <c r="R78" s="2"/>
      <c r="S78" s="2"/>
      <c r="T78" s="2"/>
      <c r="U78" s="2"/>
      <c r="V78" s="2"/>
      <c r="W78" s="2"/>
      <c r="X78" s="2"/>
      <c r="Y78" s="2"/>
      <c r="Z78" s="2"/>
      <c r="AA78" s="2"/>
      <c r="AB78" s="2"/>
      <c r="AC78" s="2"/>
      <c r="AD78" s="2"/>
    </row>
    <row r="79" spans="1:30" x14ac:dyDescent="0.3">
      <c r="A79" s="2"/>
      <c r="B79" s="2"/>
      <c r="C79" s="2"/>
      <c r="D79" s="3"/>
      <c r="E79" s="2"/>
      <c r="F79" s="2"/>
      <c r="G79" s="2"/>
      <c r="H79" s="2"/>
      <c r="I79" s="2"/>
      <c r="J79" s="2"/>
      <c r="K79" s="2"/>
      <c r="L79" s="2"/>
      <c r="M79" s="2"/>
      <c r="N79" s="2"/>
      <c r="O79" s="2"/>
      <c r="P79" s="2"/>
      <c r="Q79" s="2"/>
      <c r="R79" s="2"/>
      <c r="S79" s="2"/>
      <c r="T79" s="2"/>
      <c r="U79" s="2"/>
      <c r="V79" s="2"/>
      <c r="W79" s="2"/>
      <c r="X79" s="2"/>
      <c r="Y79" s="2"/>
      <c r="Z79" s="2"/>
      <c r="AA79" s="2"/>
      <c r="AB79" s="2"/>
      <c r="AC79" s="2"/>
      <c r="AD79" s="2"/>
    </row>
    <row r="80" spans="1:30" x14ac:dyDescent="0.3">
      <c r="A80" s="2"/>
      <c r="B80" s="2"/>
      <c r="C80" s="2"/>
      <c r="D80" s="3"/>
      <c r="E80" s="2"/>
      <c r="F80" s="2"/>
      <c r="G80" s="2"/>
      <c r="H80" s="2"/>
      <c r="I80" s="2"/>
      <c r="J80" s="2"/>
      <c r="K80" s="2"/>
      <c r="L80" s="2"/>
      <c r="M80" s="2"/>
      <c r="N80" s="2"/>
      <c r="O80" s="2"/>
      <c r="P80" s="2"/>
      <c r="Q80" s="2"/>
      <c r="R80" s="2"/>
      <c r="S80" s="2"/>
      <c r="T80" s="2"/>
      <c r="U80" s="2"/>
      <c r="V80" s="2"/>
      <c r="W80" s="2"/>
      <c r="X80" s="2"/>
      <c r="Y80" s="2"/>
      <c r="Z80" s="2"/>
      <c r="AA80" s="2"/>
      <c r="AB80" s="2"/>
      <c r="AC80" s="2"/>
      <c r="AD80" s="2"/>
    </row>
    <row r="81" spans="1:30" x14ac:dyDescent="0.3">
      <c r="A81" s="2"/>
      <c r="B81" s="2"/>
      <c r="C81" s="2"/>
      <c r="D81" s="3"/>
      <c r="E81" s="2"/>
      <c r="F81" s="2"/>
      <c r="G81" s="2"/>
      <c r="H81" s="2"/>
      <c r="I81" s="2"/>
      <c r="J81" s="2"/>
      <c r="K81" s="2"/>
      <c r="L81" s="2"/>
      <c r="M81" s="2"/>
      <c r="N81" s="2"/>
      <c r="O81" s="2"/>
      <c r="P81" s="2"/>
      <c r="Q81" s="2"/>
      <c r="R81" s="2"/>
      <c r="S81" s="2"/>
      <c r="T81" s="2"/>
      <c r="U81" s="2"/>
      <c r="V81" s="2"/>
      <c r="W81" s="2"/>
      <c r="X81" s="2"/>
      <c r="Y81" s="2"/>
      <c r="Z81" s="2"/>
      <c r="AA81" s="2"/>
      <c r="AB81" s="2"/>
      <c r="AC81" s="2"/>
      <c r="AD81" s="2"/>
    </row>
    <row r="82" spans="1:30" x14ac:dyDescent="0.3">
      <c r="A82" s="2"/>
      <c r="B82" s="2"/>
      <c r="C82" s="2"/>
      <c r="D82" s="3"/>
      <c r="E82" s="2"/>
      <c r="F82" s="2"/>
      <c r="G82" s="2"/>
      <c r="H82" s="2"/>
      <c r="I82" s="2"/>
      <c r="J82" s="2"/>
      <c r="K82" s="2"/>
      <c r="L82" s="2"/>
      <c r="M82" s="2"/>
      <c r="N82" s="2"/>
      <c r="O82" s="2"/>
      <c r="P82" s="2"/>
      <c r="Q82" s="2"/>
      <c r="R82" s="2"/>
      <c r="S82" s="2"/>
      <c r="T82" s="2"/>
      <c r="U82" s="2"/>
      <c r="V82" s="2"/>
      <c r="W82" s="2"/>
      <c r="X82" s="2"/>
      <c r="Y82" s="2"/>
      <c r="Z82" s="2"/>
      <c r="AA82" s="2"/>
      <c r="AB82" s="2"/>
      <c r="AC82" s="2"/>
      <c r="AD82" s="2"/>
    </row>
    <row r="83" spans="1:30" x14ac:dyDescent="0.3">
      <c r="A83" s="2"/>
      <c r="B83" s="2"/>
      <c r="C83" s="2"/>
      <c r="D83" s="3"/>
      <c r="E83" s="2"/>
      <c r="F83" s="2"/>
      <c r="G83" s="2"/>
      <c r="H83" s="2"/>
      <c r="I83" s="2"/>
      <c r="J83" s="2"/>
      <c r="K83" s="2"/>
      <c r="L83" s="2"/>
      <c r="M83" s="2"/>
      <c r="N83" s="2"/>
      <c r="O83" s="2"/>
      <c r="P83" s="2"/>
      <c r="Q83" s="2"/>
      <c r="R83" s="2"/>
      <c r="S83" s="2"/>
      <c r="T83" s="2"/>
      <c r="U83" s="2"/>
      <c r="V83" s="2"/>
      <c r="W83" s="2"/>
      <c r="X83" s="2"/>
      <c r="Y83" s="2"/>
      <c r="Z83" s="2"/>
      <c r="AA83" s="2"/>
      <c r="AB83" s="2"/>
      <c r="AC83" s="2"/>
      <c r="AD83" s="2"/>
    </row>
    <row r="84" spans="1:30" x14ac:dyDescent="0.3">
      <c r="A84" s="2"/>
      <c r="B84" s="2"/>
      <c r="C84" s="2"/>
      <c r="D84" s="3"/>
      <c r="E84" s="2"/>
      <c r="F84" s="2"/>
      <c r="G84" s="2"/>
      <c r="H84" s="2"/>
      <c r="I84" s="2"/>
      <c r="J84" s="2"/>
      <c r="K84" s="2"/>
      <c r="L84" s="2"/>
      <c r="M84" s="2"/>
      <c r="N84" s="2"/>
      <c r="O84" s="2"/>
      <c r="P84" s="2"/>
      <c r="Q84" s="2"/>
      <c r="R84" s="2"/>
      <c r="S84" s="2"/>
      <c r="T84" s="2"/>
      <c r="U84" s="2"/>
      <c r="V84" s="2"/>
      <c r="W84" s="2"/>
      <c r="X84" s="2"/>
      <c r="Y84" s="2"/>
      <c r="Z84" s="2"/>
      <c r="AA84" s="2"/>
      <c r="AB84" s="2"/>
      <c r="AC84" s="2"/>
      <c r="AD84" s="2"/>
    </row>
    <row r="85" spans="1:30" x14ac:dyDescent="0.3">
      <c r="A85" s="2"/>
      <c r="B85" s="2"/>
      <c r="C85" s="2"/>
      <c r="D85" s="3"/>
      <c r="E85" s="2"/>
      <c r="F85" s="2"/>
      <c r="G85" s="2"/>
      <c r="H85" s="2"/>
      <c r="I85" s="2"/>
      <c r="J85" s="2"/>
      <c r="K85" s="2"/>
      <c r="L85" s="2"/>
      <c r="M85" s="2"/>
      <c r="N85" s="2"/>
      <c r="O85" s="2"/>
      <c r="P85" s="2"/>
      <c r="Q85" s="2"/>
      <c r="R85" s="2"/>
      <c r="S85" s="2"/>
      <c r="T85" s="2"/>
      <c r="U85" s="2"/>
      <c r="V85" s="2"/>
      <c r="W85" s="2"/>
      <c r="X85" s="2"/>
      <c r="Y85" s="2"/>
      <c r="Z85" s="2"/>
      <c r="AA85" s="2"/>
      <c r="AB85" s="2"/>
      <c r="AC85" s="2"/>
      <c r="AD85" s="2"/>
    </row>
    <row r="86" spans="1:30" x14ac:dyDescent="0.3">
      <c r="A86" s="2"/>
      <c r="B86" s="2"/>
      <c r="C86" s="2"/>
      <c r="D86" s="3"/>
      <c r="E86" s="2"/>
      <c r="F86" s="2"/>
      <c r="G86" s="2"/>
      <c r="H86" s="2"/>
      <c r="I86" s="2"/>
      <c r="J86" s="2"/>
      <c r="K86" s="2"/>
      <c r="L86" s="2"/>
      <c r="M86" s="2"/>
      <c r="N86" s="2"/>
      <c r="O86" s="2"/>
      <c r="P86" s="2"/>
      <c r="Q86" s="2"/>
      <c r="R86" s="2"/>
      <c r="S86" s="2"/>
      <c r="T86" s="2"/>
      <c r="U86" s="2"/>
      <c r="V86" s="2"/>
      <c r="W86" s="2"/>
      <c r="X86" s="2"/>
      <c r="Y86" s="2"/>
      <c r="Z86" s="2"/>
      <c r="AA86" s="2"/>
      <c r="AB86" s="2"/>
      <c r="AC86" s="2"/>
      <c r="AD86" s="2"/>
    </row>
    <row r="87" spans="1:30" x14ac:dyDescent="0.3">
      <c r="A87" s="2"/>
      <c r="B87" s="2"/>
      <c r="C87" s="2"/>
      <c r="D87" s="3"/>
      <c r="E87" s="2"/>
      <c r="F87" s="2"/>
      <c r="G87" s="2"/>
      <c r="H87" s="2"/>
      <c r="I87" s="2"/>
      <c r="J87" s="2"/>
      <c r="K87" s="2"/>
      <c r="L87" s="2"/>
      <c r="M87" s="2"/>
      <c r="N87" s="2"/>
      <c r="O87" s="2"/>
      <c r="P87" s="2"/>
      <c r="Q87" s="2"/>
      <c r="R87" s="2"/>
      <c r="S87" s="2"/>
      <c r="T87" s="2"/>
      <c r="U87" s="2"/>
      <c r="V87" s="2"/>
      <c r="W87" s="2"/>
      <c r="X87" s="2"/>
      <c r="Y87" s="2"/>
      <c r="Z87" s="2"/>
      <c r="AA87" s="2"/>
      <c r="AB87" s="2"/>
      <c r="AC87" s="2"/>
      <c r="AD87" s="2"/>
    </row>
    <row r="88" spans="1:30" x14ac:dyDescent="0.3">
      <c r="A88" s="2"/>
      <c r="B88" s="2"/>
      <c r="C88" s="2"/>
      <c r="D88" s="3"/>
      <c r="E88" s="2"/>
      <c r="F88" s="2"/>
      <c r="G88" s="2"/>
      <c r="H88" s="2"/>
      <c r="I88" s="2"/>
      <c r="J88" s="2"/>
      <c r="K88" s="2"/>
      <c r="L88" s="2"/>
      <c r="M88" s="2"/>
      <c r="N88" s="2"/>
      <c r="O88" s="2"/>
      <c r="P88" s="2"/>
      <c r="Q88" s="2"/>
      <c r="R88" s="2"/>
      <c r="S88" s="2"/>
      <c r="T88" s="2"/>
      <c r="U88" s="2"/>
      <c r="V88" s="2"/>
      <c r="W88" s="2"/>
      <c r="X88" s="2"/>
      <c r="Y88" s="2"/>
      <c r="Z88" s="2"/>
      <c r="AA88" s="2"/>
      <c r="AB88" s="2"/>
      <c r="AC88" s="2"/>
      <c r="AD88" s="2"/>
    </row>
    <row r="89" spans="1:30" x14ac:dyDescent="0.3">
      <c r="A89" s="2"/>
      <c r="B89" s="2"/>
      <c r="C89" s="2"/>
      <c r="D89" s="3"/>
      <c r="E89" s="2"/>
      <c r="F89" s="2"/>
      <c r="G89" s="2"/>
      <c r="H89" s="2"/>
      <c r="I89" s="2"/>
      <c r="J89" s="2"/>
      <c r="K89" s="2"/>
      <c r="L89" s="2"/>
      <c r="M89" s="2"/>
      <c r="N89" s="2"/>
      <c r="O89" s="2"/>
      <c r="P89" s="2"/>
      <c r="Q89" s="2"/>
      <c r="R89" s="2"/>
      <c r="S89" s="2"/>
      <c r="T89" s="2"/>
      <c r="U89" s="2"/>
      <c r="V89" s="2"/>
      <c r="W89" s="2"/>
      <c r="X89" s="2"/>
      <c r="Y89" s="2"/>
      <c r="Z89" s="2"/>
      <c r="AA89" s="2"/>
      <c r="AB89" s="2"/>
      <c r="AC89" s="2"/>
      <c r="AD89" s="2"/>
    </row>
    <row r="90" spans="1:30" x14ac:dyDescent="0.3">
      <c r="A90" s="2"/>
      <c r="B90" s="2"/>
      <c r="C90" s="2"/>
      <c r="D90" s="3"/>
      <c r="E90" s="2"/>
      <c r="F90" s="2"/>
      <c r="G90" s="2"/>
      <c r="H90" s="2"/>
      <c r="I90" s="2"/>
      <c r="J90" s="2"/>
      <c r="K90" s="2"/>
      <c r="L90" s="2"/>
      <c r="M90" s="2"/>
      <c r="N90" s="2"/>
      <c r="O90" s="2"/>
      <c r="P90" s="2"/>
      <c r="Q90" s="2"/>
      <c r="R90" s="2"/>
      <c r="S90" s="2"/>
      <c r="T90" s="2"/>
      <c r="U90" s="2"/>
      <c r="V90" s="2"/>
      <c r="W90" s="2"/>
      <c r="X90" s="2"/>
      <c r="Y90" s="2"/>
      <c r="Z90" s="2"/>
      <c r="AA90" s="2"/>
      <c r="AB90" s="2"/>
      <c r="AC90" s="2"/>
      <c r="AD90" s="2"/>
    </row>
    <row r="91" spans="1:30" x14ac:dyDescent="0.3">
      <c r="A91" s="2"/>
      <c r="B91" s="2"/>
      <c r="C91" s="2"/>
      <c r="D91" s="3"/>
      <c r="E91" s="2"/>
      <c r="F91" s="2"/>
      <c r="G91" s="2"/>
      <c r="H91" s="2"/>
      <c r="I91" s="2"/>
      <c r="J91" s="2"/>
      <c r="K91" s="2"/>
      <c r="L91" s="2"/>
      <c r="M91" s="2"/>
      <c r="N91" s="2"/>
      <c r="O91" s="2"/>
      <c r="P91" s="2"/>
      <c r="Q91" s="2"/>
      <c r="R91" s="2"/>
      <c r="S91" s="2"/>
      <c r="T91" s="2"/>
      <c r="U91" s="2"/>
      <c r="V91" s="2"/>
      <c r="W91" s="2"/>
      <c r="X91" s="2"/>
      <c r="Y91" s="2"/>
      <c r="Z91" s="2"/>
      <c r="AA91" s="2"/>
      <c r="AB91" s="2"/>
      <c r="AC91" s="2"/>
      <c r="AD91" s="2"/>
    </row>
    <row r="92" spans="1:30" x14ac:dyDescent="0.3">
      <c r="A92" s="2"/>
      <c r="B92" s="2"/>
      <c r="C92" s="2"/>
      <c r="D92" s="3"/>
      <c r="E92" s="2"/>
      <c r="F92" s="2"/>
      <c r="G92" s="2"/>
      <c r="H92" s="2"/>
      <c r="I92" s="2"/>
      <c r="J92" s="2"/>
      <c r="K92" s="2"/>
      <c r="L92" s="2"/>
      <c r="M92" s="2"/>
      <c r="N92" s="2"/>
      <c r="O92" s="2"/>
      <c r="P92" s="2"/>
      <c r="Q92" s="2"/>
      <c r="R92" s="2"/>
      <c r="S92" s="2"/>
      <c r="T92" s="2"/>
      <c r="U92" s="2"/>
      <c r="V92" s="2"/>
      <c r="W92" s="2"/>
      <c r="X92" s="2"/>
      <c r="Y92" s="2"/>
      <c r="Z92" s="2"/>
      <c r="AA92" s="2"/>
      <c r="AB92" s="2"/>
      <c r="AC92" s="2"/>
      <c r="AD92" s="2"/>
    </row>
    <row r="93" spans="1:30" x14ac:dyDescent="0.3">
      <c r="A93" s="2"/>
      <c r="B93" s="2"/>
      <c r="C93" s="2"/>
      <c r="D93" s="3"/>
      <c r="E93" s="2"/>
      <c r="F93" s="2"/>
      <c r="G93" s="2"/>
      <c r="H93" s="2"/>
      <c r="I93" s="2"/>
      <c r="J93" s="2"/>
      <c r="K93" s="2"/>
      <c r="L93" s="2"/>
      <c r="M93" s="2"/>
      <c r="N93" s="2"/>
      <c r="O93" s="2"/>
      <c r="P93" s="2"/>
      <c r="Q93" s="2"/>
      <c r="R93" s="2"/>
      <c r="S93" s="2"/>
      <c r="T93" s="2"/>
      <c r="U93" s="2"/>
      <c r="V93" s="2"/>
      <c r="W93" s="2"/>
      <c r="X93" s="2"/>
      <c r="Y93" s="2"/>
      <c r="Z93" s="2"/>
      <c r="AA93" s="2"/>
      <c r="AB93" s="2"/>
      <c r="AC93" s="2"/>
      <c r="AD93" s="2"/>
    </row>
    <row r="94" spans="1:30" x14ac:dyDescent="0.3">
      <c r="A94" s="2"/>
      <c r="B94" s="2"/>
      <c r="C94" s="2"/>
      <c r="D94" s="3"/>
      <c r="E94" s="2"/>
      <c r="F94" s="2"/>
      <c r="G94" s="2"/>
      <c r="H94" s="2"/>
      <c r="I94" s="2"/>
      <c r="J94" s="2"/>
      <c r="K94" s="2"/>
      <c r="L94" s="2"/>
      <c r="M94" s="2"/>
      <c r="N94" s="2"/>
      <c r="O94" s="2"/>
      <c r="P94" s="2"/>
      <c r="Q94" s="2"/>
      <c r="R94" s="2"/>
      <c r="S94" s="2"/>
      <c r="T94" s="2"/>
      <c r="U94" s="2"/>
      <c r="V94" s="2"/>
      <c r="W94" s="2"/>
      <c r="X94" s="2"/>
      <c r="Y94" s="2"/>
      <c r="Z94" s="2"/>
      <c r="AA94" s="2"/>
      <c r="AB94" s="2"/>
      <c r="AC94" s="2"/>
      <c r="AD94" s="2"/>
    </row>
    <row r="95" spans="1:30" x14ac:dyDescent="0.3">
      <c r="A95" s="2"/>
      <c r="B95" s="2"/>
      <c r="C95" s="2"/>
      <c r="D95" s="3"/>
      <c r="E95" s="2"/>
      <c r="F95" s="2"/>
      <c r="G95" s="2"/>
      <c r="H95" s="2"/>
      <c r="I95" s="2"/>
      <c r="J95" s="2"/>
      <c r="K95" s="2"/>
      <c r="L95" s="2"/>
      <c r="M95" s="2"/>
      <c r="N95" s="2"/>
      <c r="O95" s="2"/>
      <c r="P95" s="2"/>
      <c r="Q95" s="2"/>
      <c r="R95" s="2"/>
      <c r="S95" s="2"/>
      <c r="T95" s="2"/>
      <c r="U95" s="2"/>
      <c r="V95" s="2"/>
      <c r="W95" s="2"/>
      <c r="X95" s="2"/>
      <c r="Y95" s="2"/>
      <c r="Z95" s="2"/>
      <c r="AA95" s="2"/>
      <c r="AB95" s="2"/>
      <c r="AC95" s="2"/>
      <c r="AD95" s="2"/>
    </row>
    <row r="96" spans="1:30" x14ac:dyDescent="0.3">
      <c r="A96" s="2"/>
      <c r="B96" s="2"/>
      <c r="C96" s="2"/>
      <c r="D96" s="3"/>
      <c r="E96" s="2"/>
      <c r="F96" s="2"/>
      <c r="G96" s="2"/>
      <c r="H96" s="2"/>
      <c r="I96" s="2"/>
      <c r="J96" s="2"/>
      <c r="K96" s="2"/>
      <c r="L96" s="2"/>
      <c r="M96" s="2"/>
      <c r="N96" s="2"/>
      <c r="O96" s="2"/>
      <c r="P96" s="2"/>
      <c r="Q96" s="2"/>
      <c r="R96" s="2"/>
      <c r="S96" s="2"/>
      <c r="T96" s="2"/>
      <c r="U96" s="2"/>
      <c r="V96" s="2"/>
      <c r="W96" s="2"/>
      <c r="X96" s="2"/>
      <c r="Y96" s="2"/>
      <c r="Z96" s="2"/>
      <c r="AA96" s="2"/>
      <c r="AB96" s="2"/>
      <c r="AC96" s="2"/>
      <c r="AD96" s="2"/>
    </row>
    <row r="97" spans="1:30" x14ac:dyDescent="0.3">
      <c r="A97" s="2"/>
      <c r="B97" s="2"/>
      <c r="C97" s="2"/>
      <c r="D97" s="3"/>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1:30" x14ac:dyDescent="0.3">
      <c r="A98" s="2"/>
      <c r="B98" s="2"/>
      <c r="C98" s="2"/>
      <c r="D98" s="3"/>
      <c r="E98" s="2"/>
      <c r="F98" s="2"/>
      <c r="G98" s="2"/>
      <c r="H98" s="2"/>
      <c r="I98" s="2"/>
      <c r="J98" s="2"/>
      <c r="K98" s="2"/>
      <c r="L98" s="2"/>
      <c r="M98" s="2"/>
      <c r="N98" s="2"/>
      <c r="O98" s="2"/>
      <c r="P98" s="2"/>
      <c r="Q98" s="2"/>
      <c r="R98" s="2"/>
      <c r="S98" s="2"/>
      <c r="T98" s="2"/>
      <c r="U98" s="2"/>
      <c r="V98" s="2"/>
      <c r="W98" s="2"/>
      <c r="X98" s="2"/>
      <c r="Y98" s="2"/>
      <c r="Z98" s="2"/>
      <c r="AA98" s="2"/>
      <c r="AB98" s="2"/>
      <c r="AC98" s="2"/>
      <c r="AD98" s="2"/>
    </row>
    <row r="99" spans="1:30" x14ac:dyDescent="0.3">
      <c r="A99" s="2"/>
      <c r="B99" s="2"/>
      <c r="C99" s="2"/>
      <c r="D99" s="3"/>
      <c r="E99" s="2"/>
      <c r="F99" s="2"/>
      <c r="G99" s="2"/>
      <c r="H99" s="2"/>
      <c r="I99" s="2"/>
      <c r="J99" s="2"/>
      <c r="K99" s="2"/>
      <c r="L99" s="2"/>
      <c r="M99" s="2"/>
      <c r="N99" s="2"/>
      <c r="O99" s="2"/>
      <c r="P99" s="2"/>
      <c r="Q99" s="2"/>
      <c r="R99" s="2"/>
      <c r="S99" s="2"/>
      <c r="T99" s="2"/>
      <c r="U99" s="2"/>
      <c r="V99" s="2"/>
      <c r="W99" s="2"/>
      <c r="X99" s="2"/>
      <c r="Y99" s="2"/>
      <c r="Z99" s="2"/>
      <c r="AA99" s="2"/>
      <c r="AB99" s="2"/>
      <c r="AC99" s="2"/>
      <c r="AD99" s="2"/>
    </row>
    <row r="100" spans="1:30" x14ac:dyDescent="0.3">
      <c r="A100" s="2"/>
      <c r="B100" s="2"/>
      <c r="C100" s="2"/>
      <c r="D100" s="3"/>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spans="1:30" x14ac:dyDescent="0.3">
      <c r="A101" s="2"/>
      <c r="B101" s="2"/>
      <c r="C101" s="2"/>
      <c r="D101" s="3"/>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x14ac:dyDescent="0.3">
      <c r="A102" s="2"/>
      <c r="B102" s="2"/>
      <c r="C102" s="2"/>
      <c r="D102" s="3"/>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spans="1:30" x14ac:dyDescent="0.3">
      <c r="A103" s="2"/>
      <c r="B103" s="2"/>
      <c r="C103" s="2"/>
      <c r="D103" s="3"/>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spans="1:30" x14ac:dyDescent="0.3">
      <c r="A104" s="2"/>
      <c r="B104" s="2"/>
      <c r="C104" s="2"/>
      <c r="D104" s="3"/>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spans="1:30" x14ac:dyDescent="0.3">
      <c r="A105" s="2"/>
      <c r="B105" s="2"/>
      <c r="C105" s="2"/>
      <c r="D105" s="3"/>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spans="1:30" x14ac:dyDescent="0.3">
      <c r="A106" s="2"/>
      <c r="B106" s="2"/>
      <c r="C106" s="2"/>
      <c r="D106" s="3"/>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x14ac:dyDescent="0.3">
      <c r="A107" s="2"/>
      <c r="B107" s="2"/>
      <c r="C107" s="2"/>
      <c r="D107" s="3"/>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spans="1:30" x14ac:dyDescent="0.3">
      <c r="A108" s="2"/>
      <c r="B108" s="2"/>
      <c r="C108" s="2"/>
      <c r="D108" s="3"/>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x14ac:dyDescent="0.3">
      <c r="A109" s="2"/>
      <c r="B109" s="2"/>
      <c r="C109" s="2"/>
      <c r="D109" s="3"/>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spans="1:30" x14ac:dyDescent="0.3">
      <c r="A110" s="2"/>
      <c r="B110" s="2"/>
      <c r="C110" s="2"/>
      <c r="D110" s="3"/>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spans="1:30" x14ac:dyDescent="0.3">
      <c r="A111" s="2"/>
      <c r="B111" s="2"/>
      <c r="C111" s="2"/>
      <c r="D111" s="3"/>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spans="1:30" x14ac:dyDescent="0.3">
      <c r="A112" s="2"/>
      <c r="B112" s="2"/>
      <c r="C112" s="2"/>
      <c r="D112" s="3"/>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1:30" x14ac:dyDescent="0.3">
      <c r="A113" s="2"/>
      <c r="B113" s="2"/>
      <c r="C113" s="2"/>
      <c r="D113" s="3"/>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x14ac:dyDescent="0.3">
      <c r="A114" s="2"/>
      <c r="B114" s="2"/>
      <c r="C114" s="2"/>
      <c r="D114" s="3"/>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spans="1:30" x14ac:dyDescent="0.3">
      <c r="A115" s="2"/>
      <c r="B115" s="2"/>
      <c r="C115" s="2"/>
      <c r="D115" s="3"/>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spans="1:30" x14ac:dyDescent="0.3">
      <c r="A116" s="2"/>
      <c r="B116" s="2"/>
      <c r="C116" s="2"/>
      <c r="D116" s="3"/>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spans="1:30" x14ac:dyDescent="0.3">
      <c r="A117" s="2"/>
      <c r="B117" s="2"/>
      <c r="C117" s="2"/>
      <c r="D117" s="3"/>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spans="1:30" x14ac:dyDescent="0.3">
      <c r="A118" s="2"/>
      <c r="B118" s="2"/>
      <c r="C118" s="2"/>
      <c r="D118" s="3"/>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spans="1:30" x14ac:dyDescent="0.3">
      <c r="A119" s="2"/>
      <c r="B119" s="2"/>
      <c r="C119" s="2"/>
      <c r="D119" s="3"/>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spans="1:30" x14ac:dyDescent="0.3">
      <c r="A120" s="2"/>
      <c r="B120" s="2"/>
      <c r="C120" s="2"/>
      <c r="D120" s="3"/>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supriya chakpram</dc:creator>
  <cp:lastModifiedBy>supriya chakpram</cp:lastModifiedBy>
  <dcterms:created xsi:type="dcterms:W3CDTF">2025-12-08T10:54:22Z</dcterms:created>
  <dcterms:modified xsi:type="dcterms:W3CDTF">2025-12-11T09:50:37Z</dcterms:modified>
</cp:coreProperties>
</file>